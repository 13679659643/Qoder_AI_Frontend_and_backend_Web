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utao\"/>
    </mc:Choice>
  </mc:AlternateContent>
  <xr:revisionPtr revIDLastSave="0" documentId="13_ncr:1_{10CDB629-3890-44E6-9BF6-6A365120DCD1}" xr6:coauthVersionLast="36" xr6:coauthVersionMax="36" xr10:uidLastSave="{00000000-0000-0000-0000-000000000000}"/>
  <bookViews>
    <workbookView xWindow="4240" yWindow="640" windowWidth="28040" windowHeight="15800" xr2:uid="{00000000-000D-0000-FFFF-FFFF00000000}"/>
  </bookViews>
  <sheets>
    <sheet name="PBI取数逻辑" sheetId="2" r:id="rId1"/>
    <sheet name="Sheet3" sheetId="5" state="hidden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5" l="1"/>
  <c r="D13" i="5" s="1"/>
  <c r="C12" i="5"/>
  <c r="B12" i="5"/>
  <c r="D12" i="5" s="1"/>
  <c r="D9" i="5"/>
  <c r="D8" i="5"/>
  <c r="E4" i="5"/>
  <c r="E3" i="5"/>
  <c r="C13" i="5" s="1"/>
</calcChain>
</file>

<file path=xl/sharedStrings.xml><?xml version="1.0" encoding="utf-8"?>
<sst xmlns="http://schemas.openxmlformats.org/spreadsheetml/2006/main" count="440" uniqueCount="193">
  <si>
    <t>Tab</t>
  </si>
  <si>
    <t>板块名称</t>
  </si>
  <si>
    <t>对应模块</t>
  </si>
  <si>
    <t>维度</t>
  </si>
  <si>
    <t>Name_EN</t>
  </si>
  <si>
    <t>Name_CN</t>
  </si>
  <si>
    <t>Definition</t>
  </si>
  <si>
    <t>Data_Source</t>
  </si>
  <si>
    <t>计算指标</t>
  </si>
  <si>
    <t>筛选逻辑</t>
  </si>
  <si>
    <t>聚合粒度</t>
  </si>
  <si>
    <t>附属指标</t>
  </si>
  <si>
    <t>Monthly TAR ACH%</t>
  </si>
  <si>
    <t>Yearly TAR ACH%</t>
  </si>
  <si>
    <t>Customer</t>
  </si>
  <si>
    <t>Customer KPI</t>
  </si>
  <si>
    <t>Net</t>
  </si>
  <si>
    <t>DCom New Customer No.</t>
  </si>
  <si>
    <t>DCom新客数</t>
  </si>
  <si>
    <t>a03_e2e_customer_data_m
a03_e2e_customer_fcst_data_m</t>
  </si>
  <si>
    <t>count(distinct user_id)</t>
  </si>
  <si>
    <t>先筛选在所选时间范围内net sales &gt; 0的user_id:
dt = 所选时间范围, sum(net_pay_amt) &gt; 0 where is_member = 0
缩小顾客范围至start period往前推12个月无消费：
dt = 所选时间范围start_period, lp_12m_net_pay_amt = 0</t>
  </si>
  <si>
    <t>platform, shop_info_id</t>
  </si>
  <si>
    <t>vs LY：今年 / 去年 - 1
vs LP：当期 / 上期 - 1</t>
  </si>
  <si>
    <r>
      <rPr>
        <sz val="10"/>
        <rFont val="等线"/>
        <charset val="134"/>
      </rPr>
      <t xml:space="preserve">当timeframe选择month：月实际值总和/月目标值总和
</t>
    </r>
    <r>
      <rPr>
        <b/>
        <sz val="10"/>
        <color rgb="FF3370FF"/>
        <rFont val="等线"/>
        <charset val="134"/>
      </rPr>
      <t xml:space="preserve">目标值取数逻辑：
</t>
    </r>
    <r>
      <rPr>
        <sz val="10"/>
        <color rgb="FF3370FF"/>
        <rFont val="等线"/>
        <charset val="134"/>
      </rPr>
      <t xml:space="preserve">dt = 所选时间范围，group by platform, shop_info_id
目标值 = sum(new_customer_cnt)
</t>
    </r>
    <r>
      <rPr>
        <sz val="10"/>
        <rFont val="等线"/>
        <charset val="134"/>
      </rPr>
      <t>当timeframe选择quarter：留空
当timeframe选择year：留空</t>
    </r>
  </si>
  <si>
    <r>
      <rPr>
        <sz val="10"/>
        <rFont val="等线"/>
        <charset val="134"/>
      </rPr>
      <t xml:space="preserve">实际值总和/年目标值
</t>
    </r>
    <r>
      <rPr>
        <sz val="10"/>
        <color rgb="FF3370FF"/>
        <rFont val="等线"/>
        <charset val="134"/>
      </rPr>
      <t xml:space="preserve">dt = 所选时间范围，group by platform, shop_info_id
</t>
    </r>
    <r>
      <rPr>
        <sz val="10"/>
        <rFont val="等线"/>
        <charset val="134"/>
      </rPr>
      <t xml:space="preserve">当timeframe选择month: </t>
    </r>
    <r>
      <rPr>
        <sz val="10"/>
        <color rgb="FF3370FF"/>
        <rFont val="等线"/>
        <charset val="134"/>
      </rPr>
      <t xml:space="preserve">目标值 = sum(distinct (year_new_customer_cnt)) </t>
    </r>
    <r>
      <rPr>
        <b/>
        <sz val="10"/>
        <color rgb="FF1F2329"/>
        <rFont val="等线"/>
        <charset val="134"/>
      </rPr>
      <t xml:space="preserve">- 跨财年留空
</t>
    </r>
    <r>
      <rPr>
        <sz val="10"/>
        <rFont val="等线"/>
        <charset val="134"/>
      </rPr>
      <t xml:space="preserve">当timeframe选择quarter: </t>
    </r>
    <r>
      <rPr>
        <sz val="10"/>
        <color rgb="FF3370FF"/>
        <rFont val="等线"/>
        <charset val="134"/>
      </rPr>
      <t xml:space="preserve">目标值 = sum(distinct year_new_customer_cnt) </t>
    </r>
    <r>
      <rPr>
        <b/>
        <sz val="10"/>
        <color rgb="FF1F2329"/>
        <rFont val="等线"/>
        <charset val="134"/>
      </rPr>
      <t xml:space="preserve">- 跨财年留空
</t>
    </r>
    <r>
      <rPr>
        <sz val="10"/>
        <rFont val="等线"/>
        <charset val="134"/>
      </rPr>
      <t xml:space="preserve">当timeframe选择year: </t>
    </r>
    <r>
      <rPr>
        <sz val="10"/>
        <color rgb="FF3370FF"/>
        <rFont val="等线"/>
        <charset val="134"/>
      </rPr>
      <t>目标值 = sum(distinct year_new_customer_cnt)</t>
    </r>
  </si>
  <si>
    <t>DCom New Customer%</t>
  </si>
  <si>
    <t>DCom新客占比</t>
  </si>
  <si>
    <t>DCom新客数/DCom总客数</t>
  </si>
  <si>
    <t>分子：见DCom New Customer No.取数逻辑
分母：dt = 所选时间范围count(distinct user_id) where sum(net_pay_amt) &gt; 0 AND is_member = 0</t>
  </si>
  <si>
    <r>
      <rPr>
        <sz val="10"/>
        <rFont val="等线"/>
        <charset val="134"/>
      </rPr>
      <t xml:space="preserve">vs LY：今年 - 去年（差值，展示时×100 转 </t>
    </r>
    <r>
      <rPr>
        <sz val="10"/>
        <color rgb="FFF54A45"/>
        <rFont val="等线"/>
        <charset val="134"/>
      </rPr>
      <t>pts</t>
    </r>
    <r>
      <rPr>
        <sz val="10"/>
        <rFont val="等线"/>
        <charset val="134"/>
      </rPr>
      <t xml:space="preserve">）
vs LP：当期 - 上期（差值，展示时×100 转 </t>
    </r>
    <r>
      <rPr>
        <sz val="10"/>
        <color rgb="FFF54A45"/>
        <rFont val="等线"/>
        <charset val="134"/>
      </rPr>
      <t>pts</t>
    </r>
    <r>
      <rPr>
        <sz val="10"/>
        <rFont val="等线"/>
        <charset val="134"/>
      </rPr>
      <t>）</t>
    </r>
  </si>
  <si>
    <r>
      <rPr>
        <sz val="10"/>
        <rFont val="等线"/>
        <charset val="134"/>
      </rPr>
      <t>当timeframe选择month：月实际值/月目标值</t>
    </r>
    <r>
      <rPr>
        <b/>
        <sz val="10"/>
        <rFont val="等线"/>
        <charset val="134"/>
      </rPr>
      <t xml:space="preserve">（仅选择单个财月单个shop有值）
</t>
    </r>
    <r>
      <rPr>
        <sz val="10"/>
        <color rgb="FF3370FF"/>
        <rFont val="等线"/>
        <charset val="134"/>
      </rPr>
      <t xml:space="preserve">目标值取数逻辑：
dt = 所选时间范围，group by platform, shop_info_id
目标值 = sum(new_customer_percent)
</t>
    </r>
    <r>
      <rPr>
        <sz val="10"/>
        <rFont val="等线"/>
        <charset val="134"/>
      </rPr>
      <t>当timeframe选择quarter：留空
当timeframe选择year：留空</t>
    </r>
  </si>
  <si>
    <r>
      <rPr>
        <sz val="10"/>
        <rFont val="等线"/>
        <charset val="134"/>
      </rPr>
      <t>实际值总和/年目标值</t>
    </r>
    <r>
      <rPr>
        <b/>
        <sz val="10"/>
        <rFont val="等线"/>
        <charset val="134"/>
      </rPr>
      <t xml:space="preserve">（仅选择单个财月/年，单个shop有值）
</t>
    </r>
    <r>
      <rPr>
        <sz val="10"/>
        <color rgb="FF3370FF"/>
        <rFont val="等线"/>
        <charset val="134"/>
      </rPr>
      <t xml:space="preserve">dt = 所选时间范围，group by platform, shop_info_id
</t>
    </r>
    <r>
      <rPr>
        <sz val="10"/>
        <rFont val="等线"/>
        <charset val="134"/>
      </rPr>
      <t xml:space="preserve">当timeframe选择month: </t>
    </r>
    <r>
      <rPr>
        <sz val="10"/>
        <color rgb="FF3370FF"/>
        <rFont val="等线"/>
        <charset val="134"/>
      </rPr>
      <t xml:space="preserve">目标值 = distinct year_new_customer_percent
</t>
    </r>
    <r>
      <rPr>
        <sz val="10"/>
        <rFont val="等线"/>
        <charset val="134"/>
      </rPr>
      <t xml:space="preserve">当timeframe选择quarter: 留空
当timeframe选择year: </t>
    </r>
    <r>
      <rPr>
        <sz val="10"/>
        <color rgb="FF3370FF"/>
        <rFont val="等线"/>
        <charset val="134"/>
      </rPr>
      <t>目标值 = distinct year_new_customer_percent</t>
    </r>
  </si>
  <si>
    <t>Performance Indicator</t>
  </si>
  <si>
    <t>DCom SLS</t>
  </si>
  <si>
    <t>DCom净销售额</t>
  </si>
  <si>
    <t>DCom净销售额=DCom销售订单总销售额-退货额</t>
  </si>
  <si>
    <t>a03_e2e_customer_data_m</t>
  </si>
  <si>
    <r>
      <rPr>
        <b/>
        <sz val="10"/>
        <rFont val="等线"/>
        <charset val="134"/>
      </rPr>
      <t xml:space="preserve">New
</t>
    </r>
    <r>
      <rPr>
        <sz val="10"/>
        <rFont val="等线"/>
        <charset val="134"/>
      </rPr>
      <t xml:space="preserve">Step 1:
先筛选在所选时间范围内net sales &gt; 0的user_id:
dt = 所选时间范围, sum(net_pay_amt) &gt; 0 where is_member = 0
缩小顾客范围至start period往前推12个月无消费：
dt = 所选时间范围start_period, lp_12m_net_pay_amt = 0
Step 2: 
再看该user_id在所选时间范围对应的sum(net_pay_amt) where is_member = 0
</t>
    </r>
    <r>
      <rPr>
        <b/>
        <sz val="10"/>
        <rFont val="等线"/>
        <charset val="134"/>
      </rPr>
      <t xml:space="preserve">Existing
</t>
    </r>
    <r>
      <rPr>
        <sz val="10"/>
        <rFont val="等线"/>
        <charset val="134"/>
      </rPr>
      <t xml:space="preserve">Step 1:
先筛选在所选时间范围内net sales &gt; 0的user_id:
dt = 所选时间范围, sum(net_pay_amt) &gt; 0 where is_member = 0
缩小顾客范围至start period往前推12个月有消费：
dt = 所选时间范围start_period, lp_12m_net_pay_amt &gt; 0
Step 2: 
再看该user_id在所选时间范围对应的sum(net_pay_amt) where is_member = 0
</t>
    </r>
    <r>
      <rPr>
        <b/>
        <sz val="10"/>
        <rFont val="等线"/>
        <charset val="134"/>
      </rPr>
      <t xml:space="preserve">All
</t>
    </r>
    <r>
      <rPr>
        <sz val="10"/>
        <rFont val="等线"/>
        <charset val="134"/>
      </rPr>
      <t>在所选时间范围对应的sum(net_pay_amt) where is_member = 0</t>
    </r>
  </si>
  <si>
    <t>Customer No.</t>
  </si>
  <si>
    <t>买家人数</t>
  </si>
  <si>
    <t>净购买买家人数</t>
  </si>
  <si>
    <r>
      <rPr>
        <b/>
        <sz val="10"/>
        <rFont val="等线"/>
        <charset val="134"/>
      </rPr>
      <t xml:space="preserve">New
</t>
    </r>
    <r>
      <rPr>
        <sz val="10"/>
        <rFont val="等线"/>
        <charset val="134"/>
      </rPr>
      <t xml:space="preserve">Step 1:
先筛选在所选时间范围内net sales &gt; 0的user_id:
dt = 所选时间范围, sum(net_pay_amt) &gt; 0 where is_member = 0
缩小顾客范围至start period往前推12个月无消费：
dt = 所选时间范围start_period, lp_12m_net_pay_amt = 0
</t>
    </r>
    <r>
      <rPr>
        <b/>
        <sz val="10"/>
        <rFont val="等线"/>
        <charset val="134"/>
      </rPr>
      <t xml:space="preserve">Existing
</t>
    </r>
    <r>
      <rPr>
        <sz val="10"/>
        <rFont val="等线"/>
        <charset val="134"/>
      </rPr>
      <t xml:space="preserve">先筛选在所选时间范围内net sales &gt; 0的user_id:
dt = 所选时间范围, sum(net_pay_amt) &gt; 0 where is_member = 0
缩小顾客范围至start period往前推12个月有消费：
dt = 所选时间范围start_period, lp_12m_net_pay_amt &gt; 0
</t>
    </r>
    <r>
      <rPr>
        <b/>
        <sz val="10"/>
        <rFont val="等线"/>
        <charset val="134"/>
      </rPr>
      <t xml:space="preserve">All
</t>
    </r>
    <r>
      <rPr>
        <sz val="10"/>
        <rFont val="等线"/>
        <charset val="134"/>
      </rPr>
      <t>count(distinct user_id)
dt = 所选时间范围, sum(net_pay_amt) &gt; 0 where is_member = 0</t>
    </r>
  </si>
  <si>
    <t>vs LY：今年 / 去年 -1
vs LP：当期 / 上期 - 1</t>
  </si>
  <si>
    <t>ACV</t>
  </si>
  <si>
    <t>客单价</t>
  </si>
  <si>
    <t>净销售金额/净购买买家人数</t>
  </si>
  <si>
    <r>
      <rPr>
        <b/>
        <sz val="10"/>
        <rFont val="等线"/>
        <charset val="134"/>
      </rPr>
      <t xml:space="preserve">New
</t>
    </r>
    <r>
      <rPr>
        <sz val="10"/>
        <rFont val="等线"/>
        <charset val="134"/>
      </rPr>
      <t xml:space="preserve">Step 1:
先筛选在所选时间范围内net sales &gt; 0的user_id:
dt = 所选时间范围, sum(net_pay_amt) &gt; 0 where is_member = 0
缩小顾客范围至start period往前推12个月无消费：
dt = 所选时间范围start_period, lp_12m_net_pay_amt = 0
Step 2: 再看该user_id在所选时间范围对应的sum(net_pay_amt) where is_member = 0
</t>
    </r>
    <r>
      <rPr>
        <b/>
        <u/>
        <sz val="10"/>
        <rFont val="等线"/>
        <charset val="134"/>
      </rPr>
      <t xml:space="preserve">Step 3: sum(net_pay_amt)/count(distinct user_id)
</t>
    </r>
    <r>
      <rPr>
        <b/>
        <sz val="10"/>
        <rFont val="等线"/>
        <charset val="134"/>
      </rPr>
      <t xml:space="preserve">Existing
</t>
    </r>
    <r>
      <rPr>
        <sz val="10"/>
        <rFont val="等线"/>
        <charset val="134"/>
      </rPr>
      <t xml:space="preserve">Step 1:
先筛选在所选时间范围内net sales &gt; 0的user_id:
dt = 所选时间范围, sum(net_pay_amt) &gt; 0 where is_member = 0
缩小顾客范围至start period往前推12个月有消费：
dt = 所选时间范围start_period, lp_12m_net_pay_amt &gt; 0
Step 2: 再看该user_id在所选时间范围对应的sum(net_pay_amt) where is_member = 0
</t>
    </r>
    <r>
      <rPr>
        <b/>
        <u/>
        <sz val="10"/>
        <rFont val="等线"/>
        <charset val="134"/>
      </rPr>
      <t xml:space="preserve">Step 3: sum(net_pay_amt)/count(distinct user_id)
</t>
    </r>
    <r>
      <rPr>
        <b/>
        <sz val="10"/>
        <rFont val="等线"/>
        <charset val="134"/>
      </rPr>
      <t xml:space="preserve">All
</t>
    </r>
    <r>
      <rPr>
        <sz val="10"/>
        <rFont val="等线"/>
        <charset val="134"/>
      </rPr>
      <t>分子：在所选时间范围对应的sum(net_pay_amt) where is_member = 0
分母：count(distinct user_id)，dt = 所选时间范围, sum(net_pay_amt) &gt; 0 where is_member = 0</t>
    </r>
  </si>
  <si>
    <t>AUR</t>
  </si>
  <si>
    <t>件单价</t>
  </si>
  <si>
    <t>净销售金额/商品净出库件数</t>
  </si>
  <si>
    <r>
      <rPr>
        <b/>
        <sz val="10"/>
        <rFont val="等线"/>
        <charset val="134"/>
      </rPr>
      <t xml:space="preserve">New
</t>
    </r>
    <r>
      <rPr>
        <sz val="10"/>
        <rFont val="等线"/>
        <charset val="134"/>
      </rPr>
      <t xml:space="preserve">Step 1:
先筛选在所选时间范围内net sales &gt; 0的user_id:
dt = 所选时间范围, sum(net_pay_amt) &gt; 0 where is_member = 0
缩小顾客范围至start period往前推12个月无消费：
dt = 所选时间范围start_period, lp_12m_net_pay_amt = 0
Step 2: 
分子：再看该user_id在所选时间范围对应的sum(net_pay_amt) where is_member = 0
分母：再看该user_id在所选时间范围对应的sum(net_pay_qty) where is_member = 0
</t>
    </r>
    <r>
      <rPr>
        <b/>
        <sz val="10"/>
        <rFont val="等线"/>
        <charset val="134"/>
      </rPr>
      <t xml:space="preserve">Existing
</t>
    </r>
    <r>
      <rPr>
        <sz val="10"/>
        <rFont val="等线"/>
        <charset val="134"/>
      </rPr>
      <t xml:space="preserve">Step 1:
先筛选在所选时间范围内net sales &gt; 0的user_id:
dt = 所选时间范围, sum(net_pay_amt) &gt; 0 where is_member = 0
缩小顾客范围至start period往前推12个月有消费：
dt = 所选时间范围start_period, lp_12m_net_pay_amt &gt; 0
Step 2: 
分子：再看该user_id在所选时间范围对应的sum(net_pay_amt) where is_member = 0
分母：再看该user_id在所选时间范围对应的sum(net_pay_qty) where is_member = 0
</t>
    </r>
    <r>
      <rPr>
        <b/>
        <sz val="10"/>
        <rFont val="等线"/>
        <charset val="134"/>
      </rPr>
      <t xml:space="preserve">All
</t>
    </r>
    <r>
      <rPr>
        <sz val="10"/>
        <rFont val="等线"/>
        <charset val="134"/>
      </rPr>
      <t>分子：在所选时间范围对应的sum(net_pay_amt) where is_member = 0
分母：在所选时间范围对应的sum(net_pay_qty) where is_member = 0</t>
    </r>
  </si>
  <si>
    <t>Freq.</t>
  </si>
  <si>
    <t>购买频次</t>
  </si>
  <si>
    <t>净订单数/净购买买家人数</t>
  </si>
  <si>
    <r>
      <rPr>
        <b/>
        <sz val="10"/>
        <rFont val="等线"/>
        <charset val="134"/>
      </rPr>
      <t xml:space="preserve">New
</t>
    </r>
    <r>
      <rPr>
        <sz val="10"/>
        <rFont val="等线"/>
        <charset val="134"/>
      </rPr>
      <t xml:space="preserve">Step 1:
先筛选在所选时间范围内net sales &gt; 0的user_id:
dt = 所选时间范围, sum(net_pay_amt) &gt; 0 where is_member = 0
缩小顾客范围至start period往前推12个月无消费：
dt = 所选时间范围start_period, lp_12m_net_pay_amt = 0
Step 2: 再看该user_id在所选时间范围对应的sum(pay_order_cnt) where is_member = 0
</t>
    </r>
    <r>
      <rPr>
        <b/>
        <u/>
        <sz val="10"/>
        <rFont val="等线"/>
        <charset val="134"/>
      </rPr>
      <t xml:space="preserve">Step 3: sum(pay_order_cnt)/count(distinct user_id)
</t>
    </r>
    <r>
      <rPr>
        <b/>
        <sz val="10"/>
        <rFont val="等线"/>
        <charset val="134"/>
      </rPr>
      <t xml:space="preserve">Existing
</t>
    </r>
    <r>
      <rPr>
        <sz val="10"/>
        <rFont val="等线"/>
        <charset val="134"/>
      </rPr>
      <t xml:space="preserve">Step 1:
先筛选在所选时间范围内net sales &gt; 0的user_id:
dt = 所选时间范围, sum(net_pay_amt) &gt; 0 where is_member = 0
缩小顾客范围至start period往前推12个月有消费：
dt = 所选时间范围start_period, lp_12m_net_pay_amt &gt; 0
Step 2: 再看该user_id在所选时间范围对应的sum(net_pay_amt) where is_member = 0
</t>
    </r>
    <r>
      <rPr>
        <b/>
        <u/>
        <sz val="10"/>
        <rFont val="等线"/>
        <charset val="134"/>
      </rPr>
      <t xml:space="preserve">Step 3: sum(pay_order_cnt)/count(distinct user_id)
</t>
    </r>
    <r>
      <rPr>
        <b/>
        <sz val="10"/>
        <rFont val="等线"/>
        <charset val="134"/>
      </rPr>
      <t xml:space="preserve">All
</t>
    </r>
    <r>
      <rPr>
        <sz val="10"/>
        <rFont val="等线"/>
        <charset val="134"/>
      </rPr>
      <t>分子：在所选时间范围对应的sum(pay_order_cnt) where is_member = 0
分母：count(distinct user_id)，dt = 所选时间范围, sum(net_pay_amt) &gt; 0 where is_member = 0</t>
    </r>
  </si>
  <si>
    <t>UPT</t>
  </si>
  <si>
    <t>客单件</t>
  </si>
  <si>
    <t>商品净出库件数/净出库订单数</t>
  </si>
  <si>
    <r>
      <rPr>
        <b/>
        <sz val="10"/>
        <rFont val="等线"/>
        <charset val="134"/>
      </rPr>
      <t xml:space="preserve">New
</t>
    </r>
    <r>
      <rPr>
        <sz val="10"/>
        <rFont val="等线"/>
        <charset val="134"/>
      </rPr>
      <t xml:space="preserve">Step 1:
先筛选在所选时间范围内net sales &gt; 0的user_id:
dt = 所选时间范围, sum(net_pay_amt) &gt; 0 where is_member = 0
缩小顾客范围至start period往前推12个月无消费：
dt = 所选时间范围start_period, lp_12m_net_pay_amt = 0
Step 2: 
分子：再看该user_id在所选时间范围对应的sum(net_pay_qty) where is_member = 0
分母：再看该user_id在所选时间范围对应的sum(pay_order_cnt) where is_member = 0
</t>
    </r>
    <r>
      <rPr>
        <b/>
        <sz val="10"/>
        <rFont val="等线"/>
        <charset val="134"/>
      </rPr>
      <t xml:space="preserve">Existing
</t>
    </r>
    <r>
      <rPr>
        <sz val="10"/>
        <rFont val="等线"/>
        <charset val="134"/>
      </rPr>
      <t xml:space="preserve">Step 1:
先筛选在所选时间范围内net sales &gt; 0的user_id:
dt = 所选时间范围, sum(net_pay_amt) &gt; 0 where is_member = 0
缩小顾客范围至start period往前推12个月有消费：
dt = 所选时间范围start_period, lp_12m_net_pay_amt &gt; 0
Step 2: 
分子：再看该user_id在所选时间范围对应的sum(net_pay_qty) where is_member = 0
分母：再看该user_id在所选时间范围对应的sum(pay_order_cnt) where is_member = 0
</t>
    </r>
    <r>
      <rPr>
        <b/>
        <sz val="10"/>
        <rFont val="等线"/>
        <charset val="134"/>
      </rPr>
      <t xml:space="preserve">All
</t>
    </r>
    <r>
      <rPr>
        <sz val="10"/>
        <rFont val="等线"/>
        <charset val="134"/>
      </rPr>
      <t>分子：在所选时间范围对应的sum(net_pay_qty) where is_member = 0
分母：在所选时间范围对应的sum(pay_order_cnt) where is_member = 0</t>
    </r>
  </si>
  <si>
    <t>Demand</t>
  </si>
  <si>
    <t>DCom销售额</t>
  </si>
  <si>
    <r>
      <rPr>
        <b/>
        <sz val="10"/>
        <rFont val="等线"/>
        <charset val="134"/>
      </rPr>
      <t xml:space="preserve">New
</t>
    </r>
    <r>
      <rPr>
        <sz val="10"/>
        <rFont val="等线"/>
        <charset val="134"/>
      </rPr>
      <t xml:space="preserve">Step 1:
先筛选在所选时间范围内demand sales &gt; 0的user_id:
dt = 所选时间范围, sum(pay_amt) &gt; 0 where is_member = 0
缩小顾客范围至start period往前推12个月无消费：
dt = 所选时间范围start_period, lp_12m_pay_amt = 0
Step 2: 
再看该user_id在所选时间范围对应的sum(pay_amt) where is_member = 0
</t>
    </r>
    <r>
      <rPr>
        <b/>
        <sz val="10"/>
        <rFont val="等线"/>
        <charset val="134"/>
      </rPr>
      <t xml:space="preserve">Existing
</t>
    </r>
    <r>
      <rPr>
        <sz val="10"/>
        <rFont val="等线"/>
        <charset val="134"/>
      </rPr>
      <t xml:space="preserve">Step 1:
先筛选在所选时间范围内demand sales &gt; 0的user_id:
dt = 所选时间范围, sum(pay_amt) &gt; 0 where is_member = 0
缩小顾客范围至start period往前推12个月有消费：
dt = 所选时间范围start_period, lp_12m_pay_amt &gt; 0
Step 2: 
再看该user_id在所选时间范围对应的sum(pay_amt) where is_member = 0
</t>
    </r>
    <r>
      <rPr>
        <b/>
        <sz val="10"/>
        <rFont val="等线"/>
        <charset val="134"/>
      </rPr>
      <t xml:space="preserve">All
</t>
    </r>
    <r>
      <rPr>
        <sz val="10"/>
        <rFont val="等线"/>
        <charset val="134"/>
      </rPr>
      <t>在所选时间范围对应的sum(pay_amt) where is_member = 0</t>
    </r>
  </si>
  <si>
    <r>
      <rPr>
        <b/>
        <sz val="10"/>
        <rFont val="等线"/>
        <charset val="134"/>
      </rPr>
      <t xml:space="preserve">New
</t>
    </r>
    <r>
      <rPr>
        <sz val="10"/>
        <rFont val="等线"/>
        <charset val="134"/>
      </rPr>
      <t xml:space="preserve">Step 1:
先筛选在所选时间范围内demand sales &gt; 0的user_id:
dt = 所选时间范围, sum(pay_amt) &gt; 0 where is_member = 0
缩小顾客范围至start period往前推12个月无消费：
dt = 所选时间范围start_period, lp_12m_pay_amt = 0
</t>
    </r>
    <r>
      <rPr>
        <b/>
        <sz val="10"/>
        <rFont val="等线"/>
        <charset val="134"/>
      </rPr>
      <t xml:space="preserve">Existing
</t>
    </r>
    <r>
      <rPr>
        <sz val="10"/>
        <rFont val="等线"/>
        <charset val="134"/>
      </rPr>
      <t xml:space="preserve">先筛选在所选时间范围内demand sales &gt; 0的user_id:
dt = 所选时间范围, sum(pay_amt) &gt; 0 where is_member = 0
缩小顾客范围至start period往前推12个月有消费：
dt = 所选时间范围start_period, lp_12m_pay_amt &gt; 0
</t>
    </r>
    <r>
      <rPr>
        <b/>
        <sz val="10"/>
        <rFont val="等线"/>
        <charset val="134"/>
      </rPr>
      <t xml:space="preserve">All
</t>
    </r>
    <r>
      <rPr>
        <sz val="10"/>
        <rFont val="等线"/>
        <charset val="134"/>
      </rPr>
      <t>count(distinct user_id)
dt = 所选时间范围, sum(pay_amt) &gt; 0 where is_member = 0</t>
    </r>
  </si>
  <si>
    <t>销售金额/买家人数</t>
  </si>
  <si>
    <r>
      <rPr>
        <b/>
        <sz val="10"/>
        <rFont val="等线"/>
        <charset val="134"/>
      </rPr>
      <t xml:space="preserve">New
</t>
    </r>
    <r>
      <rPr>
        <sz val="10"/>
        <rFont val="等线"/>
        <charset val="134"/>
      </rPr>
      <t xml:space="preserve">Step 1:
先筛选在所选时间范围内demand sales &gt; 0的user_id:
dt = 所选时间范围, sum(pay_amt) &gt; 0 where is_member = 0
缩小顾客范围至start period往前推12个月无消费：
dt = 所选时间范围start_period, lp_12m_pay_amt = 0
Step 2: 再看该user_id在所选时间范围对应的sum(pay_amt) where is_member = 0
</t>
    </r>
    <r>
      <rPr>
        <b/>
        <u/>
        <sz val="10"/>
        <rFont val="等线"/>
        <charset val="134"/>
      </rPr>
      <t xml:space="preserve">Step 3: sum(pay_amt)/count(distinct user_id)
</t>
    </r>
    <r>
      <rPr>
        <b/>
        <sz val="10"/>
        <rFont val="等线"/>
        <charset val="134"/>
      </rPr>
      <t xml:space="preserve">Existing
</t>
    </r>
    <r>
      <rPr>
        <sz val="10"/>
        <rFont val="等线"/>
        <charset val="134"/>
      </rPr>
      <t xml:space="preserve">Step 1:
先筛选在所选时间范围内demand sales &gt; 0的user_id:
dt = 所选时间范围, sum(pay_amt) &gt; 0 where is_member = 0
缩小顾客范围至start period往前推12个月有消费：
dt = 所选时间范围start_period, lp_12m_pay_amt &gt; 0
Step 2: 再看该user_id在所选时间范围对应的sum(pay_amt) where is_member = 0
</t>
    </r>
    <r>
      <rPr>
        <b/>
        <u/>
        <sz val="10"/>
        <rFont val="等线"/>
        <charset val="134"/>
      </rPr>
      <t xml:space="preserve">Step 3: sum(pay_amt)/count(distinct user_id)
</t>
    </r>
    <r>
      <rPr>
        <b/>
        <sz val="10"/>
        <rFont val="等线"/>
        <charset val="134"/>
      </rPr>
      <t xml:space="preserve">All
</t>
    </r>
    <r>
      <rPr>
        <sz val="10"/>
        <rFont val="等线"/>
        <charset val="134"/>
      </rPr>
      <t>分子：在所选时间范围对应的sum(pay_amt) where is_member = 0
分母：count(distinct user_id)，dt = 所选时间范围, sum(pay_amt) &gt; 0 where is_member = 0</t>
    </r>
  </si>
  <si>
    <t>销售金额/商品出库件数</t>
  </si>
  <si>
    <r>
      <rPr>
        <b/>
        <sz val="10"/>
        <rFont val="等线"/>
        <charset val="134"/>
      </rPr>
      <t xml:space="preserve">New
</t>
    </r>
    <r>
      <rPr>
        <sz val="10"/>
        <rFont val="等线"/>
        <charset val="134"/>
      </rPr>
      <t xml:space="preserve">Step 1:
先筛选在所选时间范围内demand sales &gt; 0的user_id:
dt = 所选时间范围, sum(pay_amt) &gt; 0 where is_member = 0
缩小顾客范围至start period往前推12个月无消费：
dt = 所选时间范围start_period, lp_12m_pay_amt = 0
Step 2: 
分子：再看该user_id在所选时间范围对应的sum(pay_amt) where is_member = 0
分母：再看该user_id在所选时间范围对应的sum(pay_qty) where is_member = 0
</t>
    </r>
    <r>
      <rPr>
        <b/>
        <sz val="10"/>
        <rFont val="等线"/>
        <charset val="134"/>
      </rPr>
      <t xml:space="preserve">Existing
</t>
    </r>
    <r>
      <rPr>
        <sz val="10"/>
        <rFont val="等线"/>
        <charset val="134"/>
      </rPr>
      <t xml:space="preserve">Step 1:
先筛选在所选时间范围内demand sales &gt; 0的user_id:
dt = 所选时间范围, sum(pay_amt) &gt; 0 where is_member = 0
缩小顾客范围至start period往前推12个月有消费：
dt = 所选时间范围start_period, lp_12m_pay_amt &gt; 0
Step 2: 
分子：再看该user_id在所选时间范围对应的sum(pay_amt) where is_member = 0
分母：再看该user_id在所选时间范围对应的sum(pay_qty) where is_member = 0
</t>
    </r>
    <r>
      <rPr>
        <b/>
        <sz val="10"/>
        <rFont val="等线"/>
        <charset val="134"/>
      </rPr>
      <t xml:space="preserve">All
</t>
    </r>
    <r>
      <rPr>
        <sz val="10"/>
        <rFont val="等线"/>
        <charset val="134"/>
      </rPr>
      <t>分子：在所选时间范围对应的sum(pay_amt) where is_member = 0
分母：在所选时间范围对应的sum(pay_qty) where is_member = 0</t>
    </r>
  </si>
  <si>
    <t>订单数/买家人数</t>
  </si>
  <si>
    <r>
      <rPr>
        <b/>
        <sz val="10"/>
        <rFont val="等线"/>
        <charset val="134"/>
      </rPr>
      <t xml:space="preserve">New
</t>
    </r>
    <r>
      <rPr>
        <sz val="10"/>
        <rFont val="等线"/>
        <charset val="134"/>
      </rPr>
      <t xml:space="preserve">Step 1:
先筛选在所选时间范围内demand sales &gt; 0的user_id:
dt = 所选时间范围, sum(pay_amt) &gt; 0 where is_member = 0
缩小顾客范围至start period往前推12个月无消费：
dt = 所选时间范围start_period, lp_12m_pay_amt = 0
Step 2: 再看该user_id在所选时间范围对应的sum(pay_order_cnt) where is_member = 0
</t>
    </r>
    <r>
      <rPr>
        <b/>
        <u/>
        <sz val="10"/>
        <rFont val="等线"/>
        <charset val="134"/>
      </rPr>
      <t xml:space="preserve">Step 3: sum(pay_order_cnt)/count(distinct user_id)
</t>
    </r>
    <r>
      <rPr>
        <b/>
        <sz val="10"/>
        <rFont val="等线"/>
        <charset val="134"/>
      </rPr>
      <t xml:space="preserve">Existing
</t>
    </r>
    <r>
      <rPr>
        <sz val="10"/>
        <rFont val="等线"/>
        <charset val="134"/>
      </rPr>
      <t xml:space="preserve">Step 1:
先筛选在所选时间范围内demand sales &gt; 0的user_id:
dt = 所选时间范围, sum(pay_amt) &gt; 0 where is_member = 0
缩小顾客范围至start period往前推12个月有消费：
dt = 所选时间范围start_period, lp_12m_pay_amt &gt; 0
Step 2: 再看该user_id在所选时间范围对应的sum(pay_order_cnt) where is_member = 0
</t>
    </r>
    <r>
      <rPr>
        <b/>
        <u/>
        <sz val="10"/>
        <rFont val="等线"/>
        <charset val="134"/>
      </rPr>
      <t xml:space="preserve">Step 3: sum(pay_order_cnt)/count(distinct user_id)
</t>
    </r>
    <r>
      <rPr>
        <b/>
        <sz val="10"/>
        <rFont val="等线"/>
        <charset val="134"/>
      </rPr>
      <t xml:space="preserve">All
</t>
    </r>
    <r>
      <rPr>
        <sz val="10"/>
        <rFont val="等线"/>
        <charset val="134"/>
      </rPr>
      <t>分子：在所选时间范围对应的sum(pay_order_cnt) where is_member = 0
分母：count(distinct user_id)，dt = 所选时间范围, sum(pay_amt) &gt; 0 where is_member = 0</t>
    </r>
  </si>
  <si>
    <t>商品出库件数/出库订单数</t>
  </si>
  <si>
    <r>
      <rPr>
        <b/>
        <sz val="10"/>
        <rFont val="等线"/>
        <charset val="134"/>
      </rPr>
      <t xml:space="preserve">New
</t>
    </r>
    <r>
      <rPr>
        <sz val="10"/>
        <rFont val="等线"/>
        <charset val="134"/>
      </rPr>
      <t xml:space="preserve">Step 1:
先筛选在所选时间范围内demand sales &gt; 0的user_id:
dt = 所选时间范围, sum(pay_amt) &gt; 0 where is_member = 0
缩小顾客范围至start period往前推12个月无消费：
dt = 所选时间范围start_period, lp_12m_pay_amt = 0
Step 2: 
分子：再看该user_id在所选时间范围对应的sum(pay_qty) where is_member = 0
分母：再看该user_id在所选时间范围对应的sum(pay_order_cnt) where is_member = 0
</t>
    </r>
    <r>
      <rPr>
        <b/>
        <sz val="10"/>
        <rFont val="等线"/>
        <charset val="134"/>
      </rPr>
      <t xml:space="preserve">Existing
</t>
    </r>
    <r>
      <rPr>
        <sz val="10"/>
        <rFont val="等线"/>
        <charset val="134"/>
      </rPr>
      <t xml:space="preserve">Step 1:
先筛选在所选时间范围内demand sales &gt; 0的user_id:
dt = 所选时间范围, sum(pay_amt) &gt; 0 where is_member = 0
缩小顾客范围至start period往前推12个月有消费：
dt = 所选时间范围start_period, lp_12m_pay_amt &gt; 0
Step 2: 
分子：再看该user_id在所选时间范围对应的sum(pay_qty) where is_member = 0
分母：再看该user_id在所选时间范围对应的sum(pay_order_cnt) where is_member = 0
</t>
    </r>
    <r>
      <rPr>
        <b/>
        <sz val="10"/>
        <rFont val="等线"/>
        <charset val="134"/>
      </rPr>
      <t xml:space="preserve">All
</t>
    </r>
    <r>
      <rPr>
        <sz val="10"/>
        <rFont val="等线"/>
        <charset val="134"/>
      </rPr>
      <t>分子：在所选时间范围对应的sum(pay_qty) where is_member = 0
分母：在所选时间范围对应的sum(pay_order_cnt) where is_member = 0</t>
    </r>
  </si>
  <si>
    <t>Customer Breakdown</t>
  </si>
  <si>
    <t>SLS</t>
  </si>
  <si>
    <t>净销售额</t>
  </si>
  <si>
    <t>sum(net_pay_amt)</t>
  </si>
  <si>
    <t>is_member = 0</t>
  </si>
  <si>
    <t>dt = 所选时间范围
platform, shop_info_id</t>
  </si>
  <si>
    <t>销售额</t>
  </si>
  <si>
    <t>sum(pay_amt)</t>
  </si>
  <si>
    <t>New Customer SLS</t>
  </si>
  <si>
    <t>新客净销售额</t>
  </si>
  <si>
    <r>
      <rPr>
        <sz val="10"/>
        <rFont val="等线"/>
        <charset val="134"/>
      </rPr>
      <t>Step 1:
先筛选在所选时间范围内net sales &gt; 0的user_id:
dt = 所选时间范围, sum(net_pay_amt) &gt; 0 where is_member = 0
缩小顾客范围至start period往前推12个月</t>
    </r>
    <r>
      <rPr>
        <b/>
        <sz val="10"/>
        <rFont val="等线"/>
        <charset val="134"/>
      </rPr>
      <t>无消费</t>
    </r>
    <r>
      <rPr>
        <sz val="10"/>
        <rFont val="等线"/>
        <charset val="134"/>
      </rPr>
      <t>：
dt = 所选时间范围start_period, lp_12m_net_pay_amt = 0
Step 2: 
再看该user_id在所选时间范围对应的sum(net_pay_amt) where is_member = 0</t>
    </r>
  </si>
  <si>
    <t>New Customer SLS占比：
分子：原指标
分母：sum(net_pay_amt) where is_member = 0
New Customer SLS vs LY：今年 / 去年 - 1
New Customer SLS vs LP：当期 / 上期 - 1</t>
  </si>
  <si>
    <t>Existing Customer SLS</t>
  </si>
  <si>
    <t>老客净销售额</t>
  </si>
  <si>
    <r>
      <rPr>
        <sz val="10"/>
        <rFont val="等线"/>
        <charset val="134"/>
      </rPr>
      <t>Step 1:
先筛选在所选时间范围内net sales &gt; 0的user_id:
dt = 所选时间范围, sum(net_pay_amt) &gt; 0 where is_member = 0
缩小顾客范围至start period往前推12个月</t>
    </r>
    <r>
      <rPr>
        <b/>
        <sz val="10"/>
        <rFont val="等线"/>
        <charset val="134"/>
      </rPr>
      <t>有消费</t>
    </r>
    <r>
      <rPr>
        <sz val="10"/>
        <rFont val="等线"/>
        <charset val="134"/>
      </rPr>
      <t>：
dt = 所选时间范围start_period, lp_12m_net_pay_amt &gt; 0
Step 2: 
再看该user_id在所选时间范围对应的sum(net_pay_amt) where is_member = 0</t>
    </r>
  </si>
  <si>
    <t>Existing Customer SLS占比：
分子：原指标
分母：sum(net_pay_amt) where is_member = 0</t>
  </si>
  <si>
    <t>新客销售额</t>
  </si>
  <si>
    <r>
      <rPr>
        <sz val="10"/>
        <rFont val="等线"/>
        <charset val="134"/>
      </rPr>
      <t>Step 1:
先筛选在所选时间范围内demand sales &gt; 0的user_id:
dt = 所选时间范围, sum(pay_amt) &gt; 0 where is_member = 0
缩小顾客范围至start period往前推12个月</t>
    </r>
    <r>
      <rPr>
        <b/>
        <sz val="10"/>
        <rFont val="等线"/>
        <charset val="134"/>
      </rPr>
      <t>无消费</t>
    </r>
    <r>
      <rPr>
        <sz val="10"/>
        <rFont val="等线"/>
        <charset val="134"/>
      </rPr>
      <t>：
dt = 所选时间范围start_period, lp_12m_pay_amt = 0
Step 2: 
再看该user_id在所选时间范围对应的sum(pay_amt) where is_member = 0</t>
    </r>
  </si>
  <si>
    <t>New Customer SLS占比：
分子：原指标
分母：sum(pay_amt) where is_member = 0
New Customer SLS vs LY：今年 / 去年 - 1
New Customer SLS vs LP：当期 / 上期 - 1</t>
  </si>
  <si>
    <t>老客销售额</t>
  </si>
  <si>
    <r>
      <rPr>
        <sz val="10"/>
        <rFont val="等线"/>
        <charset val="134"/>
      </rPr>
      <t>Step 1:
先筛选在所选时间范围内demand sales &gt; 0的user_id:
dt = 所选时间范围, sum(pay_amt) &gt; 0 where is_member = 0
缩小顾客范围至start period往前推12个月</t>
    </r>
    <r>
      <rPr>
        <b/>
        <sz val="10"/>
        <rFont val="等线"/>
        <charset val="134"/>
      </rPr>
      <t>有消费</t>
    </r>
    <r>
      <rPr>
        <sz val="10"/>
        <rFont val="等线"/>
        <charset val="134"/>
      </rPr>
      <t>：
dt = 所选时间范围start_period, lp_12m_pay_amt &gt; 0
Step 2: 
再看该user_id在所选时间范围对应的sum(pay_amt) where is_member = 0</t>
    </r>
  </si>
  <si>
    <t>Existing Customer SLS占比：
分子：原指标
分母：sum(pay_amt) where is_member = 0</t>
  </si>
  <si>
    <t>sum(net_pay_amt) &gt; 0
is_member = 0</t>
  </si>
  <si>
    <t>sum(pay_amt) &gt; 0
is_member = 0</t>
  </si>
  <si>
    <t>New Customer No.</t>
  </si>
  <si>
    <t>新客人数</t>
  </si>
  <si>
    <t>净购买新客人数</t>
  </si>
  <si>
    <r>
      <rPr>
        <sz val="10"/>
        <rFont val="等线"/>
        <charset val="134"/>
      </rPr>
      <t>先筛选在所选时间范围内net sales &gt; 0的user_id:
dt = 所选时间范围, sum(net_pay_amt) &gt; 0 where is_member = 0
缩小顾客范围至start period往前推12个月</t>
    </r>
    <r>
      <rPr>
        <b/>
        <sz val="10"/>
        <rFont val="等线"/>
        <charset val="134"/>
      </rPr>
      <t>无消费</t>
    </r>
    <r>
      <rPr>
        <sz val="10"/>
        <rFont val="等线"/>
        <charset val="134"/>
      </rPr>
      <t>：
dt = 所选时间范围start_period, lp_12m_net_pay_amt = 0</t>
    </r>
  </si>
  <si>
    <t>New Customer SLS占比：
分子：原指标
分母：count(distinct user_id) where sum(net_pay_qty) &gt; 0 AND is_member = 0
New Customer SLS vs LY：今年 / 去年 - 1
New Customer SLS vs LP：当期 / 上期 - 1</t>
  </si>
  <si>
    <t>Existing Customer No.</t>
  </si>
  <si>
    <t>老客人数</t>
  </si>
  <si>
    <t>净购买老客人数</t>
  </si>
  <si>
    <r>
      <rPr>
        <sz val="10"/>
        <rFont val="等线"/>
        <charset val="134"/>
      </rPr>
      <t>先筛选在所选时间范围内net sales &gt; 0的user_id:
dt = 所选时间范围, sum(net_pay_amt) &gt; 0 where is_member = 0
缩小顾客范围至start period往前推12个月</t>
    </r>
    <r>
      <rPr>
        <b/>
        <sz val="10"/>
        <rFont val="等线"/>
        <charset val="134"/>
      </rPr>
      <t>有消费</t>
    </r>
    <r>
      <rPr>
        <sz val="10"/>
        <rFont val="等线"/>
        <charset val="134"/>
      </rPr>
      <t>：
dt = 所选时间范围start_period, lp_12m_net_pay_amt &gt; 0</t>
    </r>
  </si>
  <si>
    <t>Existing Customer SLS占比：
分子：原指标
分母：count(distinct user_id) where sum(net_pay_qty) &gt; 0 AND is_member = 0</t>
  </si>
  <si>
    <r>
      <rPr>
        <sz val="10"/>
        <rFont val="等线"/>
        <charset val="134"/>
      </rPr>
      <t>先筛选在所选时间范围内demand sales &gt; 0的user_id:
dt = 所选时间范围, sum(pay_amt) &gt; 0 where is_member = 0
缩小顾客范围至start period往前推12个月</t>
    </r>
    <r>
      <rPr>
        <b/>
        <sz val="10"/>
        <rFont val="等线"/>
        <charset val="134"/>
      </rPr>
      <t>无消费</t>
    </r>
    <r>
      <rPr>
        <sz val="10"/>
        <rFont val="等线"/>
        <charset val="134"/>
      </rPr>
      <t>：
dt = 所选时间范围start_period, lp_12m_pay_amt = 0</t>
    </r>
  </si>
  <si>
    <t>New Customer SLS占比：
分子：原指标
分母：count(distinct user_id) where sum(pay_qty) &gt; 0 AND is_member = 0
New Customer SLS vs LY：今年 / 去年 - 1
New Customer SLS vs LP：当期 / 上期 - 1</t>
  </si>
  <si>
    <r>
      <rPr>
        <sz val="10"/>
        <rFont val="等线"/>
        <charset val="134"/>
      </rPr>
      <t>先筛选在所选时间范围内demand sales &gt; 0的user_id:
dt = 所选时间范围, sum(pay_amt) &gt; 0 where is_member = 0
缩小顾客范围至start period往前推12个月</t>
    </r>
    <r>
      <rPr>
        <b/>
        <sz val="10"/>
        <rFont val="等线"/>
        <charset val="134"/>
      </rPr>
      <t>有消费</t>
    </r>
    <r>
      <rPr>
        <sz val="10"/>
        <rFont val="等线"/>
        <charset val="134"/>
      </rPr>
      <t>：
dt = 所选时间范围start_period, lp_12m_pay_amt &gt; 0</t>
    </r>
  </si>
  <si>
    <t>Existing Customer SLS占比：
分子：原指标
分母：count(distinct user_id) where sum(pay_qty) &gt; 0 AND is_member = 0</t>
  </si>
  <si>
    <t>ACV Breakdown</t>
  </si>
  <si>
    <t>分子：sum(net_pay_amt)
分母：count(distinct user_id)</t>
  </si>
  <si>
    <t>分子：sum(pay_amt)
分母：count(distinct user_id)</t>
  </si>
  <si>
    <t xml:space="preserve">AUR Breakdown </t>
  </si>
  <si>
    <t>分子：sum(net_pay_amt)
分母：sum(net_pay_qty)</t>
  </si>
  <si>
    <t>分子：sum(pay_amt)
分母：sum(pay_qty)</t>
  </si>
  <si>
    <t xml:space="preserve">Freq. Breakdown </t>
  </si>
  <si>
    <t>分子：sum(net_pay_order_cnt)
分母：count(distinct user_id)</t>
  </si>
  <si>
    <t>分子：sum(pay_order_cnt)
分母：count(distinct user_id)</t>
  </si>
  <si>
    <t xml:space="preserve">UPT Breakdown </t>
  </si>
  <si>
    <t>分子：sum(net_pay_qty)
分母：sum(net_pay_order_cnt)</t>
  </si>
  <si>
    <t>分子：sum(pay_qty)
分母：sum(pay_order_cnt)</t>
  </si>
  <si>
    <t>Net_Customer No.</t>
  </si>
  <si>
    <t>t05_customer_order_data_d</t>
  </si>
  <si>
    <t>在dt = 所选时间范围，统计各个category_summary下count(distinct user_id) where sum(net_pay_amt) &gt; 0</t>
  </si>
  <si>
    <t>platform, shop_info_id
brand, framework</t>
  </si>
  <si>
    <t>Class x Label Drilldown</t>
  </si>
  <si>
    <t>New Customer%</t>
  </si>
  <si>
    <t>新客占比</t>
  </si>
  <si>
    <t>各筛选条件下新客占无任何筛选条件全客的比例</t>
  </si>
  <si>
    <t>a03_e2e_customer_data_m
t05_customer_order_data_d</t>
  </si>
  <si>
    <t>分子：
Step 1: a03_e2e_customer_data_m
先筛选在所选时间范围内net sales &gt; 0的user_id:
dt = 所选时间范围, sum(net_pay_amt) &gt; 0 where is_member = 0
缩小顾客范围至start period往前推12个月无消费：
dt = 所选时间范围start_period, lp_12m_net_pay_amt = 0
Step 2: t05_customer_order_data_d
在dt = 所选时间范围，统计各个category_summary下count(distinct user_id) 
where user_id in Step 1框定的user_id范围
分母：t05_customer_order_data_d
在dt = 所选时间范围，count(distinct user_id) where sum(net_pay_amt) &gt; 0【不受产品筛选器影响】</t>
  </si>
  <si>
    <t>分子：platform, shop_info_id, brand, framework
分母：platform, shop_info_id</t>
  </si>
  <si>
    <t>TTL Customer%</t>
  </si>
  <si>
    <t>全客占比</t>
  </si>
  <si>
    <t>各筛选条件下全客占无任何筛选条件全客的比例</t>
  </si>
  <si>
    <t>分子：在dt = 所选时间范围，统计各个category_summary下count(distinct user_id) where sum(net_pay_amt) &gt; 0
分母：在dt = 所选时间范围，count(distinct user_id) where sum(net_pay_amt) &gt; 0【不受产品筛选器影响】</t>
  </si>
  <si>
    <t>±%（New Customer% - TTL Customer%）</t>
  </si>
  <si>
    <t>新客占比和全客占比差值</t>
  </si>
  <si>
    <t>新客占比-全客占比</t>
  </si>
  <si>
    <t>New Customer% - TTL Customer%</t>
  </si>
  <si>
    <t>Net_Sales</t>
  </si>
  <si>
    <t>在dt = 所选时间范围，统计各个category_summary下sum(net_pay_amt)</t>
  </si>
  <si>
    <t>分子：
Step 1：a03_e2e_customer_data_m
先筛选在所选时间范围内net sales &gt; 0的user_id:
dt = 所选时间范围, sum(net_pay_amt) &gt; 0 where is_member = 0
缩小顾客范围至start period往前推12个月无消费：
dt = 所选时间范围start_period, lp_12m_net_pay_amt = 0
Step 2: t05_customer_order_data_d
在dt = 所选时间范围，统计各个category_summary下sum(net_pay_amt)
where user_id in Step 1框定的user_id范围
分母：t05_customer_order_data_d
在dt = 所选时间范围，sum(net_pay_amt)【不受产品筛选器影响】</t>
  </si>
  <si>
    <t>分子：在dt = 所选时间范围，统计各个category_summary下sum(net_pay_amt)
分母：在dt = 所选时间范围，sum(net_pay_amt)【不受产品筛选器影响】</t>
  </si>
  <si>
    <t>New_Customer No.</t>
  </si>
  <si>
    <r>
      <rPr>
        <sz val="10"/>
        <rFont val="等线"/>
        <charset val="134"/>
      </rPr>
      <t>Step 1: a03_e2e_customer_data_m
先筛选在所选时间范围内net sales &gt; 0的user_id:
dt = 所选时间范围, sum(net_pay_amt) &gt; 0 where is_member = 0
缩小顾客范围至start period往前推12个月</t>
    </r>
    <r>
      <rPr>
        <b/>
        <sz val="10"/>
        <rFont val="等线"/>
        <charset val="134"/>
      </rPr>
      <t>无消费</t>
    </r>
    <r>
      <rPr>
        <sz val="10"/>
        <rFont val="等线"/>
        <charset val="134"/>
      </rPr>
      <t>：
dt = 所选时间范围start_period, lp_12m_net_pay_amt = 0
Step 2: t05_customer_order_data_d
在dt = 所选时间范围，统计各个product_id下count(distinct user_id) 
where user_id in Step 1框定的user_id范围</t>
    </r>
  </si>
  <si>
    <t>New_SLS</t>
  </si>
  <si>
    <r>
      <rPr>
        <sz val="10"/>
        <rFont val="等线"/>
        <charset val="134"/>
      </rPr>
      <t>Step 1：a03_e2e_customer_data_m
先筛选在所选时间范围内net sales &gt; 0的user_id:
dt = 所选时间范围, sum(net_pay_amt) &gt; 0 where is_member = 0
缩小顾客范围至start period往前推12个月</t>
    </r>
    <r>
      <rPr>
        <b/>
        <sz val="10"/>
        <rFont val="等线"/>
        <charset val="134"/>
      </rPr>
      <t>无消费</t>
    </r>
    <r>
      <rPr>
        <sz val="10"/>
        <rFont val="等线"/>
        <charset val="134"/>
      </rPr>
      <t>：
dt = 所选时间范围start_period, lp_12m_net_pay_amt = 0
Step 2: t05_customer_order_data_d
在dt = 所选时间范围，统计各个product_id下sum(net_pay_amt) 
where user_id in Step 1框定的user_id范围</t>
    </r>
  </si>
  <si>
    <t>TTL_Customer No.</t>
  </si>
  <si>
    <t xml:space="preserve">在dt = 所选时间范围，统计各个product_id下count(distinct user_id) </t>
  </si>
  <si>
    <t>sum(net_pay_amt) &gt; 0</t>
  </si>
  <si>
    <t>TTL_SLS</t>
  </si>
  <si>
    <t>在dt = 所选时间范围，统计各个product_id下sum(net_pay_amt)</t>
  </si>
  <si>
    <t>Existing_Customer No.</t>
  </si>
  <si>
    <r>
      <rPr>
        <sz val="10"/>
        <rFont val="等线"/>
        <charset val="134"/>
      </rPr>
      <t>Step 1: a03_e2e_customer_data_m
先筛选在所选时间范围内net sales &gt; 0的user_id:
dt = 所选时间范围, sum(net_pay_amt) &gt; 0 where is_member = 0
缩小顾客范围至start period往前推12个月</t>
    </r>
    <r>
      <rPr>
        <b/>
        <sz val="10"/>
        <rFont val="等线"/>
        <charset val="134"/>
      </rPr>
      <t>有消费</t>
    </r>
    <r>
      <rPr>
        <sz val="10"/>
        <rFont val="等线"/>
        <charset val="134"/>
      </rPr>
      <t>：
dt = 所选时间范围start_period, lp_12m_net_pay_amt &gt; 0
Step 2: t05_customer_order_data_d
在dt = 所选时间范围，统计各个product_id下count(distinct user_id) 
where user_id in Step 1框定的user_id范围</t>
    </r>
  </si>
  <si>
    <t>Existing_SLS</t>
  </si>
  <si>
    <r>
      <rPr>
        <sz val="10"/>
        <rFont val="等线"/>
        <charset val="134"/>
      </rPr>
      <t>Step 1：a03_e2e_customer_data_m
先筛选在所选时间范围内net sales &gt; 0的user_id:
dt = 所选时间范围, sum(net_pay_amt) &gt; 0 where is_member = 0
缩小顾客范围至start period往前推12个月</t>
    </r>
    <r>
      <rPr>
        <b/>
        <sz val="10"/>
        <rFont val="等线"/>
        <charset val="134"/>
      </rPr>
      <t>有消费</t>
    </r>
    <r>
      <rPr>
        <sz val="10"/>
        <rFont val="等线"/>
        <charset val="134"/>
      </rPr>
      <t>：
dt = 所选时间范围start_period, lp_12m_net_pay_amt &gt; 0
Step 2: t05_customer_order_data_d
在dt = 所选时间范围，统计各个product_id下sum(net_pay_amt) 
where user_id in Step 1框定的user_id范围</t>
    </r>
  </si>
  <si>
    <t>Co-Purchase Matrix</t>
  </si>
  <si>
    <t>Same-Order Cross-Sell</t>
  </si>
  <si>
    <t>同单连带率</t>
  </si>
  <si>
    <t>同一订单中同时购买起点品类A和目标品类B的订单数 / 购买起点品类A的订单数</t>
  </si>
  <si>
    <t>a03_e2e_customer_order_correlation_data_m</t>
  </si>
  <si>
    <t>data_month = 所选月份，correlation_period = 所选时间区间
分子：sum(net_pay_order_cnt)
分母：sum(co_net_pay_order_cnt)</t>
  </si>
  <si>
    <t>correlation_type = same_order</t>
  </si>
  <si>
    <t>platform, shop_info_id
customer_type
brand, category_summary</t>
  </si>
  <si>
    <t>Cross-Order Cross-Sell</t>
  </si>
  <si>
    <t>跨单连带率</t>
  </si>
  <si>
    <t>购买起点品类A后，在追踪周期内通过不同订单购买目标品类B的买家数 / 购买起点品类A的买家数</t>
  </si>
  <si>
    <t>data_month = 所选月份，correlation_period = 所选时间区间
分子：count(distinct user_id)
分母：count(distinct user_id) where 纵轴 = brand/category_summary</t>
  </si>
  <si>
    <t>correlation_type = cross_order</t>
  </si>
  <si>
    <t>Product Path</t>
  </si>
  <si>
    <t>商品购买路径</t>
  </si>
  <si>
    <t>展示客人第1/2/3次购买商品路径，支持选择追踪周期3/6/9个月</t>
  </si>
  <si>
    <t>a03_e2e_customer_time_ordered_data_m</t>
  </si>
  <si>
    <t>dt = 所选月份，period = 所选时间区间
在brand/category_summary粒度，count(distinct user_id) where payment_time_seq = 1/2/3</t>
  </si>
  <si>
    <t>Target</t>
  </si>
  <si>
    <t>date</t>
  </si>
  <si>
    <t>store</t>
  </si>
  <si>
    <t>new_customer_no_target</t>
  </si>
  <si>
    <t>new_customer_percent_target</t>
  </si>
  <si>
    <t>customer_no_target</t>
  </si>
  <si>
    <t>FY27_01</t>
  </si>
  <si>
    <t>Tmall</t>
  </si>
  <si>
    <t>FY27_02</t>
  </si>
  <si>
    <t>Actual</t>
  </si>
  <si>
    <t>new_customer_no_actual</t>
  </si>
  <si>
    <t>new_customer_percent_actual</t>
  </si>
  <si>
    <t>customer_no_actual</t>
  </si>
  <si>
    <t>FY27 01-02</t>
  </si>
  <si>
    <t>TAR ACH</t>
  </si>
  <si>
    <t>New Customer TAR ACH</t>
  </si>
  <si>
    <t>New Customer% TAR 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</si>
</sst>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等线"/>
      <family val="2"/>
      <scheme val="minor"/>
    </font>
    <font>
      <b/>
      <sz val="11"/>
      <color rgb="FF000000"/>
      <name val="等线"/>
      <family val="2"/>
    </font>
    <font>
      <sz val="10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b/>
      <sz val="10"/>
      <color rgb="FF000000"/>
      <name val="等线"/>
      <family val="2"/>
      <scheme val="minor"/>
    </font>
    <font>
      <sz val="10"/>
      <color rgb="FF1F2329"/>
      <name val="等线"/>
      <family val="2"/>
      <scheme val="minor"/>
    </font>
    <font>
      <b/>
      <sz val="12"/>
      <color rgb="FFFFFFFF"/>
      <name val="等线"/>
      <family val="2"/>
    </font>
    <font>
      <sz val="12"/>
      <color rgb="FF000000"/>
      <name val="等线"/>
      <family val="2"/>
    </font>
    <font>
      <sz val="10"/>
      <name val="等线"/>
      <charset val="134"/>
    </font>
    <font>
      <b/>
      <sz val="10"/>
      <color rgb="FF3370FF"/>
      <name val="等线"/>
      <charset val="134"/>
    </font>
    <font>
      <sz val="10"/>
      <color rgb="FF3370FF"/>
      <name val="等线"/>
      <charset val="134"/>
    </font>
    <font>
      <b/>
      <sz val="10"/>
      <color rgb="FF1F2329"/>
      <name val="等线"/>
      <charset val="134"/>
    </font>
    <font>
      <sz val="10"/>
      <color rgb="FFF54A45"/>
      <name val="等线"/>
      <charset val="134"/>
    </font>
    <font>
      <b/>
      <sz val="10"/>
      <name val="等线"/>
      <charset val="134"/>
    </font>
    <font>
      <b/>
      <u/>
      <sz val="10"/>
      <name val="等线"/>
      <charset val="134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EEDA"/>
      </patternFill>
    </fill>
    <fill>
      <patternFill patternType="solid">
        <fgColor rgb="FFE1EAFF"/>
      </patternFill>
    </fill>
    <fill>
      <patternFill patternType="solid">
        <fgColor rgb="FF4E83FD"/>
      </patternFill>
    </fill>
    <fill>
      <patternFill patternType="solid">
        <fgColor rgb="FFE1EA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1F2329"/>
      </bottom>
      <diagonal/>
    </border>
  </borders>
  <cellStyleXfs count="1">
    <xf numFmtId="0" fontId="0" fillId="0" borderId="0" applyNumberFormat="0" applyFont="0" applyFill="0" applyBorder="0" applyProtection="0"/>
  </cellStyleXfs>
  <cellXfs count="42"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1" fontId="7" fillId="5" borderId="0" xfId="0" applyNumberFormat="1" applyFont="1" applyFill="1" applyAlignment="1">
      <alignment horizontal="left" vertical="center"/>
    </xf>
    <xf numFmtId="0" fontId="7" fillId="0" borderId="0" xfId="0" applyFont="1" applyAlignment="1">
      <alignment vertical="center"/>
    </xf>
    <xf numFmtId="1" fontId="7" fillId="5" borderId="0" xfId="0" applyNumberFormat="1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3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13" Type="http://schemas.openxmlformats.org/officeDocument/2006/relationships/image" Target="../media/image14.jpeg"/><Relationship Id="rId3" Type="http://schemas.openxmlformats.org/officeDocument/2006/relationships/image" Target="../media/image4.jpeg"/><Relationship Id="rId7" Type="http://schemas.openxmlformats.org/officeDocument/2006/relationships/image" Target="../media/image8.jpeg"/><Relationship Id="rId12" Type="http://schemas.openxmlformats.org/officeDocument/2006/relationships/image" Target="../media/image13.jpeg"/><Relationship Id="rId2" Type="http://schemas.openxmlformats.org/officeDocument/2006/relationships/image" Target="../media/image3.jpeg"/><Relationship Id="rId16" Type="http://schemas.openxmlformats.org/officeDocument/2006/relationships/image" Target="../media/image17.jpe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11" Type="http://schemas.openxmlformats.org/officeDocument/2006/relationships/image" Target="../media/image12.jpeg"/><Relationship Id="rId5" Type="http://schemas.openxmlformats.org/officeDocument/2006/relationships/image" Target="../media/image6.jpeg"/><Relationship Id="rId15" Type="http://schemas.openxmlformats.org/officeDocument/2006/relationships/image" Target="../media/image16.jpeg"/><Relationship Id="rId10" Type="http://schemas.openxmlformats.org/officeDocument/2006/relationships/image" Target="../media/image11.jpeg"/><Relationship Id="rId4" Type="http://schemas.openxmlformats.org/officeDocument/2006/relationships/image" Target="../media/image5.jpeg"/><Relationship Id="rId9" Type="http://schemas.openxmlformats.org/officeDocument/2006/relationships/image" Target="../media/image10.jpeg"/><Relationship Id="rId14" Type="http://schemas.openxmlformats.org/officeDocument/2006/relationships/image" Target="../media/image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1</xdr:row>
      <xdr:rowOff>38100</xdr:rowOff>
    </xdr:from>
    <xdr:to>
      <xdr:col>3</xdr:col>
      <xdr:colOff>-38100</xdr:colOff>
      <xdr:row>3</xdr:row>
      <xdr:rowOff>-38100</xdr:rowOff>
    </xdr:to>
    <xdr:pic>
      <xdr:nvPicPr>
        <xdr:cNvPr id="2" name="Picture 2" descr="lhKdlW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3</xdr:row>
      <xdr:rowOff>38100</xdr:rowOff>
    </xdr:from>
    <xdr:to>
      <xdr:col>3</xdr:col>
      <xdr:colOff>-38100</xdr:colOff>
      <xdr:row>15</xdr:row>
      <xdr:rowOff>-38100</xdr:rowOff>
    </xdr:to>
    <xdr:pic>
      <xdr:nvPicPr>
        <xdr:cNvPr id="3" name="Picture 3" descr="UsxruJ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15</xdr:row>
      <xdr:rowOff>38100</xdr:rowOff>
    </xdr:from>
    <xdr:to>
      <xdr:col>3</xdr:col>
      <xdr:colOff>-38100</xdr:colOff>
      <xdr:row>17</xdr:row>
      <xdr:rowOff>-38100</xdr:rowOff>
    </xdr:to>
    <xdr:pic>
      <xdr:nvPicPr>
        <xdr:cNvPr id="4" name="Picture 4" descr="Arcrjq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17</xdr:row>
      <xdr:rowOff>38100</xdr:rowOff>
    </xdr:from>
    <xdr:to>
      <xdr:col>3</xdr:col>
      <xdr:colOff>-38100</xdr:colOff>
      <xdr:row>21</xdr:row>
      <xdr:rowOff>-38100</xdr:rowOff>
    </xdr:to>
    <xdr:pic>
      <xdr:nvPicPr>
        <xdr:cNvPr id="5" name="Picture 5" descr="AiuLfs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21</xdr:row>
      <xdr:rowOff>38100</xdr:rowOff>
    </xdr:from>
    <xdr:to>
      <xdr:col>3</xdr:col>
      <xdr:colOff>-38100</xdr:colOff>
      <xdr:row>23</xdr:row>
      <xdr:rowOff>-38100</xdr:rowOff>
    </xdr:to>
    <xdr:pic>
      <xdr:nvPicPr>
        <xdr:cNvPr id="6" name="Picture 6" descr="WSplv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23</xdr:row>
      <xdr:rowOff>38100</xdr:rowOff>
    </xdr:from>
    <xdr:to>
      <xdr:col>3</xdr:col>
      <xdr:colOff>-38100</xdr:colOff>
      <xdr:row>27</xdr:row>
      <xdr:rowOff>-38100</xdr:rowOff>
    </xdr:to>
    <xdr:pic>
      <xdr:nvPicPr>
        <xdr:cNvPr id="7" name="Picture 7" descr="yaAyJh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27</xdr:row>
      <xdr:rowOff>38100</xdr:rowOff>
    </xdr:from>
    <xdr:to>
      <xdr:col>3</xdr:col>
      <xdr:colOff>-38100</xdr:colOff>
      <xdr:row>29</xdr:row>
      <xdr:rowOff>-38100</xdr:rowOff>
    </xdr:to>
    <xdr:pic>
      <xdr:nvPicPr>
        <xdr:cNvPr id="8" name="Picture 8" descr="ufLHLM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29</xdr:row>
      <xdr:rowOff>38100</xdr:rowOff>
    </xdr:from>
    <xdr:to>
      <xdr:col>3</xdr:col>
      <xdr:colOff>-38100</xdr:colOff>
      <xdr:row>31</xdr:row>
      <xdr:rowOff>-38100</xdr:rowOff>
    </xdr:to>
    <xdr:pic>
      <xdr:nvPicPr>
        <xdr:cNvPr id="9" name="Picture 9" descr="qLKLIb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31</xdr:row>
      <xdr:rowOff>38100</xdr:rowOff>
    </xdr:from>
    <xdr:to>
      <xdr:col>3</xdr:col>
      <xdr:colOff>-38100</xdr:colOff>
      <xdr:row>33</xdr:row>
      <xdr:rowOff>-38100</xdr:rowOff>
    </xdr:to>
    <xdr:pic>
      <xdr:nvPicPr>
        <xdr:cNvPr id="10" name="Picture 10" descr="lOqVnD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33</xdr:row>
      <xdr:rowOff>38100</xdr:rowOff>
    </xdr:from>
    <xdr:to>
      <xdr:col>3</xdr:col>
      <xdr:colOff>-38100</xdr:colOff>
      <xdr:row>35</xdr:row>
      <xdr:rowOff>-38100</xdr:rowOff>
    </xdr:to>
    <xdr:pic>
      <xdr:nvPicPr>
        <xdr:cNvPr id="11" name="Picture 11" descr="CUoZN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35</xdr:row>
      <xdr:rowOff>38100</xdr:rowOff>
    </xdr:from>
    <xdr:to>
      <xdr:col>3</xdr:col>
      <xdr:colOff>-38100</xdr:colOff>
      <xdr:row>43</xdr:row>
      <xdr:rowOff>-38100</xdr:rowOff>
    </xdr:to>
    <xdr:pic>
      <xdr:nvPicPr>
        <xdr:cNvPr id="12" name="Picture 12" descr="MfrJIW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43</xdr:row>
      <xdr:rowOff>38100</xdr:rowOff>
    </xdr:from>
    <xdr:to>
      <xdr:col>3</xdr:col>
      <xdr:colOff>-38100</xdr:colOff>
      <xdr:row>45</xdr:row>
      <xdr:rowOff>-38100</xdr:rowOff>
    </xdr:to>
    <xdr:pic>
      <xdr:nvPicPr>
        <xdr:cNvPr id="13" name="Picture 13" descr="vtwLDL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45</xdr:row>
      <xdr:rowOff>38100</xdr:rowOff>
    </xdr:from>
    <xdr:to>
      <xdr:col>3</xdr:col>
      <xdr:colOff>-38100</xdr:colOff>
      <xdr:row>47</xdr:row>
      <xdr:rowOff>-38100</xdr:rowOff>
    </xdr:to>
    <xdr:pic>
      <xdr:nvPicPr>
        <xdr:cNvPr id="14" name="Picture 14" descr="ZOMIaI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47</xdr:row>
      <xdr:rowOff>38100</xdr:rowOff>
    </xdr:from>
    <xdr:to>
      <xdr:col>3</xdr:col>
      <xdr:colOff>-38100</xdr:colOff>
      <xdr:row>49</xdr:row>
      <xdr:rowOff>-38100</xdr:rowOff>
    </xdr:to>
    <xdr:pic>
      <xdr:nvPicPr>
        <xdr:cNvPr id="15" name="Picture 15" descr="RocfMX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49</xdr:row>
      <xdr:rowOff>38100</xdr:rowOff>
    </xdr:from>
    <xdr:to>
      <xdr:col>3</xdr:col>
      <xdr:colOff>-38100</xdr:colOff>
      <xdr:row>51</xdr:row>
      <xdr:rowOff>-38100</xdr:rowOff>
    </xdr:to>
    <xdr:pic>
      <xdr:nvPicPr>
        <xdr:cNvPr id="16" name="Picture 16" descr="lDvLbB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51</xdr:row>
      <xdr:rowOff>38100</xdr:rowOff>
    </xdr:from>
    <xdr:to>
      <xdr:col>3</xdr:col>
      <xdr:colOff>-38100</xdr:colOff>
      <xdr:row>52</xdr:row>
      <xdr:rowOff>0</xdr:rowOff>
    </xdr:to>
    <xdr:pic>
      <xdr:nvPicPr>
        <xdr:cNvPr id="17" name="Picture 17" descr="sEULiQ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55"/>
  <sheetViews>
    <sheetView tabSelected="1" workbookViewId="0">
      <pane xSplit="5" ySplit="1" topLeftCell="H2" activePane="bottomRight" state="frozen"/>
      <selection pane="topRight"/>
      <selection pane="bottomLeft"/>
      <selection pane="bottomRight" activeCell="H17" sqref="H17"/>
    </sheetView>
  </sheetViews>
  <sheetFormatPr defaultColWidth="12" defaultRowHeight="15.5" x14ac:dyDescent="0.35"/>
  <cols>
    <col min="1" max="1" width="7" customWidth="1"/>
    <col min="2" max="2" width="34" customWidth="1"/>
    <col min="3" max="3" width="12" customWidth="1"/>
    <col min="4" max="4" width="15" customWidth="1"/>
    <col min="5" max="5" width="21" customWidth="1"/>
    <col min="6" max="6" width="28" customWidth="1"/>
    <col min="7" max="7" width="32" customWidth="1"/>
    <col min="8" max="8" width="39.84375" customWidth="1"/>
    <col min="9" max="9" width="94" customWidth="1"/>
    <col min="10" max="10" width="64" customWidth="1"/>
    <col min="11" max="11" width="47" customWidth="1"/>
    <col min="12" max="12" width="67" customWidth="1"/>
    <col min="13" max="13" width="59" customWidth="1"/>
    <col min="14" max="14" width="91" customWidth="1"/>
    <col min="15" max="15" width="12" customWidth="1"/>
  </cols>
  <sheetData>
    <row r="1" spans="1:21" x14ac:dyDescent="0.3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5" t="s">
        <v>12</v>
      </c>
      <c r="N1" s="5" t="s">
        <v>13</v>
      </c>
      <c r="O1" s="6"/>
      <c r="P1" s="6"/>
      <c r="Q1" s="6"/>
      <c r="R1" s="6"/>
      <c r="S1" s="6"/>
      <c r="T1" s="6"/>
      <c r="U1" s="6"/>
    </row>
    <row r="2" spans="1:21" x14ac:dyDescent="0.35">
      <c r="A2" s="39" t="s">
        <v>14</v>
      </c>
      <c r="B2" s="39" t="s">
        <v>15</v>
      </c>
      <c r="C2" s="39"/>
      <c r="D2" s="7" t="s">
        <v>16</v>
      </c>
      <c r="E2" s="7" t="s">
        <v>17</v>
      </c>
      <c r="F2" s="7" t="s">
        <v>18</v>
      </c>
      <c r="G2" s="9" t="s">
        <v>18</v>
      </c>
      <c r="H2" s="7" t="s">
        <v>19</v>
      </c>
      <c r="I2" s="7" t="s">
        <v>20</v>
      </c>
      <c r="J2" s="7" t="s">
        <v>21</v>
      </c>
      <c r="K2" s="9" t="s">
        <v>22</v>
      </c>
      <c r="L2" s="7" t="s">
        <v>23</v>
      </c>
      <c r="M2" s="7" t="s">
        <v>24</v>
      </c>
      <c r="N2" s="7" t="s">
        <v>25</v>
      </c>
      <c r="O2" s="8"/>
      <c r="P2" s="8"/>
      <c r="Q2" s="8"/>
      <c r="R2" s="8"/>
      <c r="S2" s="8"/>
      <c r="T2" s="8"/>
      <c r="U2" s="8"/>
    </row>
    <row r="3" spans="1:21" x14ac:dyDescent="0.35">
      <c r="A3" s="39"/>
      <c r="B3" s="39"/>
      <c r="C3" s="39"/>
      <c r="D3" s="7" t="s">
        <v>16</v>
      </c>
      <c r="E3" s="7" t="s">
        <v>26</v>
      </c>
      <c r="F3" s="7" t="s">
        <v>27</v>
      </c>
      <c r="G3" s="9" t="s">
        <v>28</v>
      </c>
      <c r="H3" s="7" t="s">
        <v>19</v>
      </c>
      <c r="I3" s="7" t="s">
        <v>29</v>
      </c>
      <c r="J3" s="7"/>
      <c r="K3" s="9" t="s">
        <v>22</v>
      </c>
      <c r="L3" s="7" t="s">
        <v>30</v>
      </c>
      <c r="M3" s="7" t="s">
        <v>31</v>
      </c>
      <c r="N3" s="7" t="s">
        <v>32</v>
      </c>
      <c r="O3" s="8"/>
      <c r="P3" s="8"/>
      <c r="Q3" s="8"/>
      <c r="R3" s="8"/>
      <c r="S3" s="8"/>
      <c r="T3" s="8"/>
      <c r="U3" s="8"/>
    </row>
    <row r="4" spans="1:21" ht="26" x14ac:dyDescent="0.35">
      <c r="A4" s="39"/>
      <c r="B4" s="39" t="s">
        <v>33</v>
      </c>
      <c r="C4" s="39"/>
      <c r="D4" s="39" t="s">
        <v>16</v>
      </c>
      <c r="E4" s="7" t="s">
        <v>34</v>
      </c>
      <c r="F4" s="8" t="s">
        <v>35</v>
      </c>
      <c r="G4" s="9" t="s">
        <v>36</v>
      </c>
      <c r="H4" s="7" t="s">
        <v>37</v>
      </c>
      <c r="I4" s="7" t="s">
        <v>38</v>
      </c>
      <c r="J4" s="7"/>
      <c r="K4" s="9" t="s">
        <v>22</v>
      </c>
      <c r="L4" s="7" t="s">
        <v>23</v>
      </c>
      <c r="M4" s="8"/>
      <c r="N4" s="8"/>
      <c r="O4" s="8"/>
      <c r="P4" s="8"/>
      <c r="Q4" s="8"/>
      <c r="R4" s="8"/>
      <c r="S4" s="8"/>
      <c r="T4" s="8"/>
      <c r="U4" s="8"/>
    </row>
    <row r="5" spans="1:21" x14ac:dyDescent="0.35">
      <c r="A5" s="39"/>
      <c r="B5" s="39"/>
      <c r="C5" s="39"/>
      <c r="D5" s="39"/>
      <c r="E5" s="7" t="s">
        <v>39</v>
      </c>
      <c r="F5" s="8" t="s">
        <v>40</v>
      </c>
      <c r="G5" s="9" t="s">
        <v>41</v>
      </c>
      <c r="H5" s="7" t="s">
        <v>37</v>
      </c>
      <c r="I5" s="10" t="s">
        <v>42</v>
      </c>
      <c r="J5" s="7"/>
      <c r="K5" s="9" t="s">
        <v>22</v>
      </c>
      <c r="L5" s="7" t="s">
        <v>43</v>
      </c>
      <c r="M5" s="8"/>
      <c r="N5" s="8"/>
      <c r="O5" s="8"/>
      <c r="P5" s="8"/>
      <c r="Q5" s="8"/>
      <c r="R5" s="8"/>
      <c r="S5" s="8"/>
      <c r="T5" s="8"/>
      <c r="U5" s="8"/>
    </row>
    <row r="6" spans="1:21" x14ac:dyDescent="0.35">
      <c r="A6" s="39"/>
      <c r="B6" s="39"/>
      <c r="C6" s="39"/>
      <c r="D6" s="39"/>
      <c r="E6" s="7" t="s">
        <v>44</v>
      </c>
      <c r="F6" s="8" t="s">
        <v>45</v>
      </c>
      <c r="G6" s="11" t="s">
        <v>46</v>
      </c>
      <c r="H6" s="7" t="s">
        <v>37</v>
      </c>
      <c r="I6" s="7" t="s">
        <v>47</v>
      </c>
      <c r="J6" s="7"/>
      <c r="K6" s="9" t="s">
        <v>22</v>
      </c>
      <c r="L6" s="7" t="s">
        <v>23</v>
      </c>
      <c r="M6" s="8"/>
      <c r="N6" s="8"/>
      <c r="O6" s="8"/>
      <c r="P6" s="8"/>
      <c r="Q6" s="8"/>
      <c r="R6" s="8"/>
      <c r="S6" s="8"/>
      <c r="T6" s="8"/>
      <c r="U6" s="8"/>
    </row>
    <row r="7" spans="1:21" x14ac:dyDescent="0.35">
      <c r="A7" s="39"/>
      <c r="B7" s="39"/>
      <c r="C7" s="39"/>
      <c r="D7" s="39"/>
      <c r="E7" s="7" t="s">
        <v>48</v>
      </c>
      <c r="F7" s="8" t="s">
        <v>49</v>
      </c>
      <c r="G7" s="11" t="s">
        <v>50</v>
      </c>
      <c r="H7" s="7" t="s">
        <v>37</v>
      </c>
      <c r="I7" s="7" t="s">
        <v>51</v>
      </c>
      <c r="J7" s="7"/>
      <c r="K7" s="9" t="s">
        <v>22</v>
      </c>
      <c r="L7" s="7" t="s">
        <v>23</v>
      </c>
      <c r="M7" s="8"/>
      <c r="N7" s="8"/>
      <c r="O7" s="8"/>
      <c r="P7" s="8"/>
      <c r="Q7" s="8"/>
      <c r="R7" s="8"/>
      <c r="S7" s="8"/>
      <c r="T7" s="8"/>
      <c r="U7" s="8"/>
    </row>
    <row r="8" spans="1:21" x14ac:dyDescent="0.35">
      <c r="A8" s="39"/>
      <c r="B8" s="39"/>
      <c r="C8" s="39"/>
      <c r="D8" s="39"/>
      <c r="E8" s="7" t="s">
        <v>52</v>
      </c>
      <c r="F8" s="8" t="s">
        <v>53</v>
      </c>
      <c r="G8" s="9" t="s">
        <v>54</v>
      </c>
      <c r="H8" s="7" t="s">
        <v>37</v>
      </c>
      <c r="I8" s="7" t="s">
        <v>55</v>
      </c>
      <c r="J8" s="7"/>
      <c r="K8" s="9" t="s">
        <v>22</v>
      </c>
      <c r="L8" s="7" t="s">
        <v>23</v>
      </c>
      <c r="M8" s="8"/>
      <c r="N8" s="8"/>
      <c r="O8" s="8"/>
      <c r="P8" s="8"/>
      <c r="Q8" s="8"/>
      <c r="R8" s="8"/>
      <c r="S8" s="8"/>
      <c r="T8" s="8"/>
      <c r="U8" s="8"/>
    </row>
    <row r="9" spans="1:21" x14ac:dyDescent="0.35">
      <c r="A9" s="39"/>
      <c r="B9" s="39"/>
      <c r="C9" s="39"/>
      <c r="D9" s="39"/>
      <c r="E9" s="7" t="s">
        <v>56</v>
      </c>
      <c r="F9" s="8" t="s">
        <v>57</v>
      </c>
      <c r="G9" s="11" t="s">
        <v>58</v>
      </c>
      <c r="H9" s="7" t="s">
        <v>37</v>
      </c>
      <c r="I9" s="7" t="s">
        <v>59</v>
      </c>
      <c r="J9" s="7"/>
      <c r="K9" s="9" t="s">
        <v>22</v>
      </c>
      <c r="L9" s="7" t="s">
        <v>23</v>
      </c>
      <c r="M9" s="8"/>
      <c r="N9" s="8"/>
      <c r="O9" s="8"/>
      <c r="P9" s="8"/>
      <c r="Q9" s="8"/>
      <c r="R9" s="8"/>
      <c r="S9" s="8"/>
      <c r="T9" s="8"/>
      <c r="U9" s="8"/>
    </row>
    <row r="10" spans="1:21" x14ac:dyDescent="0.35">
      <c r="A10" s="39"/>
      <c r="B10" s="39"/>
      <c r="C10" s="39"/>
      <c r="D10" s="39" t="s">
        <v>60</v>
      </c>
      <c r="E10" s="7" t="s">
        <v>34</v>
      </c>
      <c r="F10" s="7" t="s">
        <v>61</v>
      </c>
      <c r="G10" s="9" t="s">
        <v>61</v>
      </c>
      <c r="H10" s="7" t="s">
        <v>37</v>
      </c>
      <c r="I10" s="7" t="s">
        <v>62</v>
      </c>
      <c r="J10" s="7"/>
      <c r="K10" s="9" t="s">
        <v>22</v>
      </c>
      <c r="L10" s="7" t="s">
        <v>23</v>
      </c>
      <c r="M10" s="8"/>
      <c r="N10" s="8"/>
      <c r="O10" s="8"/>
      <c r="P10" s="8"/>
      <c r="Q10" s="8"/>
      <c r="R10" s="8"/>
      <c r="S10" s="8"/>
      <c r="T10" s="8"/>
      <c r="U10" s="8"/>
    </row>
    <row r="11" spans="1:21" x14ac:dyDescent="0.35">
      <c r="A11" s="39"/>
      <c r="B11" s="39"/>
      <c r="C11" s="39"/>
      <c r="D11" s="39"/>
      <c r="E11" s="7" t="s">
        <v>39</v>
      </c>
      <c r="F11" s="8" t="s">
        <v>40</v>
      </c>
      <c r="G11" s="9" t="s">
        <v>40</v>
      </c>
      <c r="H11" s="7" t="s">
        <v>37</v>
      </c>
      <c r="I11" s="12" t="s">
        <v>63</v>
      </c>
      <c r="J11" s="7"/>
      <c r="K11" s="9" t="s">
        <v>22</v>
      </c>
      <c r="L11" s="7" t="s">
        <v>23</v>
      </c>
      <c r="M11" s="8"/>
      <c r="N11" s="8"/>
      <c r="O11" s="8"/>
      <c r="P11" s="8"/>
      <c r="Q11" s="8"/>
      <c r="R11" s="8"/>
      <c r="S11" s="8"/>
      <c r="T11" s="8"/>
      <c r="U11" s="8"/>
    </row>
    <row r="12" spans="1:21" x14ac:dyDescent="0.35">
      <c r="A12" s="39"/>
      <c r="B12" s="39"/>
      <c r="C12" s="39"/>
      <c r="D12" s="39"/>
      <c r="E12" s="7" t="s">
        <v>44</v>
      </c>
      <c r="F12" s="8" t="s">
        <v>45</v>
      </c>
      <c r="G12" s="9" t="s">
        <v>64</v>
      </c>
      <c r="H12" s="7" t="s">
        <v>37</v>
      </c>
      <c r="I12" s="7" t="s">
        <v>65</v>
      </c>
      <c r="J12" s="7"/>
      <c r="K12" s="9" t="s">
        <v>22</v>
      </c>
      <c r="L12" s="7" t="s">
        <v>23</v>
      </c>
      <c r="M12" s="8"/>
      <c r="N12" s="8"/>
      <c r="O12" s="8"/>
      <c r="P12" s="8"/>
      <c r="Q12" s="8"/>
      <c r="R12" s="8"/>
      <c r="S12" s="8"/>
      <c r="T12" s="8"/>
      <c r="U12" s="8"/>
    </row>
    <row r="13" spans="1:21" x14ac:dyDescent="0.35">
      <c r="A13" s="39"/>
      <c r="B13" s="39"/>
      <c r="C13" s="39"/>
      <c r="D13" s="39"/>
      <c r="E13" s="7" t="s">
        <v>48</v>
      </c>
      <c r="F13" s="8" t="s">
        <v>49</v>
      </c>
      <c r="G13" s="9" t="s">
        <v>66</v>
      </c>
      <c r="H13" s="7" t="s">
        <v>37</v>
      </c>
      <c r="I13" s="7" t="s">
        <v>67</v>
      </c>
      <c r="J13" s="7"/>
      <c r="K13" s="9" t="s">
        <v>22</v>
      </c>
      <c r="L13" s="7" t="s">
        <v>23</v>
      </c>
      <c r="M13" s="8"/>
      <c r="N13" s="8"/>
      <c r="O13" s="8"/>
      <c r="P13" s="8"/>
      <c r="Q13" s="8"/>
      <c r="R13" s="8"/>
      <c r="S13" s="8"/>
      <c r="T13" s="8"/>
      <c r="U13" s="8"/>
    </row>
    <row r="14" spans="1:21" x14ac:dyDescent="0.35">
      <c r="A14" s="39"/>
      <c r="B14" s="39"/>
      <c r="C14" s="39"/>
      <c r="D14" s="39"/>
      <c r="E14" s="7" t="s">
        <v>52</v>
      </c>
      <c r="F14" s="8" t="s">
        <v>53</v>
      </c>
      <c r="G14" s="9" t="s">
        <v>68</v>
      </c>
      <c r="H14" s="7" t="s">
        <v>37</v>
      </c>
      <c r="I14" s="7" t="s">
        <v>69</v>
      </c>
      <c r="J14" s="7"/>
      <c r="K14" s="9" t="s">
        <v>22</v>
      </c>
      <c r="L14" s="7" t="s">
        <v>23</v>
      </c>
      <c r="M14" s="8"/>
      <c r="N14" s="8"/>
      <c r="O14" s="8"/>
      <c r="P14" s="8"/>
      <c r="Q14" s="8"/>
      <c r="R14" s="8"/>
      <c r="S14" s="8"/>
      <c r="T14" s="8"/>
      <c r="U14" s="8"/>
    </row>
    <row r="15" spans="1:21" x14ac:dyDescent="0.35">
      <c r="A15" s="39"/>
      <c r="B15" s="39"/>
      <c r="C15" s="39"/>
      <c r="D15" s="39"/>
      <c r="E15" s="7" t="s">
        <v>56</v>
      </c>
      <c r="F15" s="8" t="s">
        <v>57</v>
      </c>
      <c r="G15" s="9" t="s">
        <v>70</v>
      </c>
      <c r="H15" s="7" t="s">
        <v>37</v>
      </c>
      <c r="I15" s="7" t="s">
        <v>71</v>
      </c>
      <c r="J15" s="7"/>
      <c r="K15" s="9" t="s">
        <v>22</v>
      </c>
      <c r="L15" s="7" t="s">
        <v>23</v>
      </c>
      <c r="M15" s="8"/>
      <c r="N15" s="8"/>
      <c r="O15" s="8"/>
      <c r="P15" s="8"/>
      <c r="Q15" s="8"/>
      <c r="R15" s="8"/>
      <c r="S15" s="8"/>
      <c r="T15" s="8"/>
      <c r="U15" s="8"/>
    </row>
    <row r="16" spans="1:21" ht="26" x14ac:dyDescent="0.35">
      <c r="A16" s="39"/>
      <c r="B16" s="39" t="s">
        <v>72</v>
      </c>
      <c r="C16" s="39"/>
      <c r="D16" s="7" t="s">
        <v>16</v>
      </c>
      <c r="E16" s="7" t="s">
        <v>73</v>
      </c>
      <c r="F16" s="8" t="s">
        <v>74</v>
      </c>
      <c r="G16" s="9" t="s">
        <v>74</v>
      </c>
      <c r="H16" s="7" t="s">
        <v>37</v>
      </c>
      <c r="I16" s="7" t="s">
        <v>75</v>
      </c>
      <c r="J16" s="7" t="s">
        <v>76</v>
      </c>
      <c r="K16" s="9" t="s">
        <v>77</v>
      </c>
      <c r="L16" s="7" t="s">
        <v>23</v>
      </c>
      <c r="M16" s="8"/>
      <c r="N16" s="8"/>
      <c r="O16" s="8"/>
      <c r="P16" s="8"/>
      <c r="Q16" s="8"/>
      <c r="R16" s="8"/>
      <c r="S16" s="8"/>
      <c r="T16" s="8"/>
      <c r="U16" s="8"/>
    </row>
    <row r="17" spans="1:21" ht="89" customHeight="1" x14ac:dyDescent="0.35">
      <c r="A17" s="39"/>
      <c r="B17" s="39"/>
      <c r="C17" s="39"/>
      <c r="D17" s="7" t="s">
        <v>60</v>
      </c>
      <c r="E17" s="7" t="s">
        <v>73</v>
      </c>
      <c r="F17" s="7" t="s">
        <v>78</v>
      </c>
      <c r="G17" s="9" t="s">
        <v>78</v>
      </c>
      <c r="H17" s="7" t="s">
        <v>37</v>
      </c>
      <c r="I17" s="7" t="s">
        <v>79</v>
      </c>
      <c r="J17" s="7" t="s">
        <v>76</v>
      </c>
      <c r="K17" s="9" t="s">
        <v>77</v>
      </c>
      <c r="L17" s="7" t="s">
        <v>23</v>
      </c>
      <c r="M17" s="8"/>
      <c r="N17" s="8"/>
      <c r="O17" s="8"/>
      <c r="P17" s="8"/>
      <c r="Q17" s="8"/>
      <c r="R17" s="8"/>
      <c r="S17" s="8"/>
      <c r="T17" s="8"/>
      <c r="U17" s="8"/>
    </row>
    <row r="18" spans="1:21" x14ac:dyDescent="0.35">
      <c r="A18" s="39"/>
      <c r="B18" s="39"/>
      <c r="C18" s="39"/>
      <c r="D18" s="39" t="s">
        <v>16</v>
      </c>
      <c r="E18" s="7" t="s">
        <v>80</v>
      </c>
      <c r="F18" s="7" t="s">
        <v>81</v>
      </c>
      <c r="G18" s="7" t="s">
        <v>81</v>
      </c>
      <c r="H18" s="7" t="s">
        <v>37</v>
      </c>
      <c r="I18" s="7" t="s">
        <v>82</v>
      </c>
      <c r="J18" s="7"/>
      <c r="K18" s="13" t="s">
        <v>22</v>
      </c>
      <c r="L18" s="7" t="s">
        <v>83</v>
      </c>
      <c r="M18" s="8"/>
      <c r="N18" s="8"/>
      <c r="O18" s="8"/>
      <c r="P18" s="8"/>
      <c r="Q18" s="8"/>
      <c r="R18" s="8"/>
      <c r="S18" s="8"/>
      <c r="T18" s="8"/>
      <c r="U18" s="8"/>
    </row>
    <row r="19" spans="1:21" x14ac:dyDescent="0.35">
      <c r="A19" s="39"/>
      <c r="B19" s="39"/>
      <c r="C19" s="39"/>
      <c r="D19" s="39"/>
      <c r="E19" s="7" t="s">
        <v>84</v>
      </c>
      <c r="F19" s="7" t="s">
        <v>85</v>
      </c>
      <c r="G19" s="7" t="s">
        <v>85</v>
      </c>
      <c r="H19" s="7" t="s">
        <v>37</v>
      </c>
      <c r="I19" s="7" t="s">
        <v>86</v>
      </c>
      <c r="J19" s="7"/>
      <c r="K19" s="13" t="s">
        <v>22</v>
      </c>
      <c r="L19" s="7" t="s">
        <v>87</v>
      </c>
      <c r="M19" s="8"/>
      <c r="N19" s="8"/>
      <c r="O19" s="8"/>
      <c r="P19" s="8"/>
      <c r="Q19" s="8"/>
      <c r="R19" s="8"/>
      <c r="S19" s="8"/>
      <c r="T19" s="8"/>
      <c r="U19" s="8"/>
    </row>
    <row r="20" spans="1:21" x14ac:dyDescent="0.35">
      <c r="A20" s="39"/>
      <c r="B20" s="39"/>
      <c r="C20" s="39"/>
      <c r="D20" s="39" t="s">
        <v>60</v>
      </c>
      <c r="E20" s="7" t="s">
        <v>80</v>
      </c>
      <c r="F20" s="7" t="s">
        <v>88</v>
      </c>
      <c r="G20" s="7" t="s">
        <v>88</v>
      </c>
      <c r="H20" s="7" t="s">
        <v>37</v>
      </c>
      <c r="I20" s="7" t="s">
        <v>89</v>
      </c>
      <c r="J20" s="7"/>
      <c r="K20" s="13" t="s">
        <v>22</v>
      </c>
      <c r="L20" s="7" t="s">
        <v>90</v>
      </c>
      <c r="M20" s="8"/>
      <c r="N20" s="8"/>
      <c r="O20" s="8"/>
      <c r="P20" s="8"/>
      <c r="Q20" s="8"/>
      <c r="R20" s="8"/>
      <c r="S20" s="8"/>
      <c r="T20" s="8"/>
      <c r="U20" s="8"/>
    </row>
    <row r="21" spans="1:21" x14ac:dyDescent="0.35">
      <c r="A21" s="39"/>
      <c r="B21" s="39"/>
      <c r="C21" s="39"/>
      <c r="D21" s="39"/>
      <c r="E21" s="7" t="s">
        <v>84</v>
      </c>
      <c r="F21" s="7" t="s">
        <v>91</v>
      </c>
      <c r="G21" s="7" t="s">
        <v>91</v>
      </c>
      <c r="H21" s="7" t="s">
        <v>37</v>
      </c>
      <c r="I21" s="7" t="s">
        <v>92</v>
      </c>
      <c r="J21" s="7"/>
      <c r="K21" s="13" t="s">
        <v>22</v>
      </c>
      <c r="L21" s="7" t="s">
        <v>93</v>
      </c>
      <c r="M21" s="8"/>
      <c r="N21" s="8"/>
      <c r="O21" s="8"/>
      <c r="P21" s="8"/>
      <c r="Q21" s="8"/>
      <c r="R21" s="8"/>
      <c r="S21" s="8"/>
      <c r="T21" s="8"/>
      <c r="U21" s="8"/>
    </row>
    <row r="22" spans="1:21" ht="26" x14ac:dyDescent="0.35">
      <c r="A22" s="39"/>
      <c r="B22" s="39"/>
      <c r="C22" s="39"/>
      <c r="D22" s="14" t="s">
        <v>16</v>
      </c>
      <c r="E22" s="7" t="s">
        <v>39</v>
      </c>
      <c r="F22" s="8" t="s">
        <v>40</v>
      </c>
      <c r="G22" s="9" t="s">
        <v>41</v>
      </c>
      <c r="H22" s="7" t="s">
        <v>37</v>
      </c>
      <c r="I22" s="7" t="s">
        <v>20</v>
      </c>
      <c r="J22" s="7" t="s">
        <v>94</v>
      </c>
      <c r="K22" s="13" t="s">
        <v>77</v>
      </c>
      <c r="L22" s="7" t="s">
        <v>23</v>
      </c>
      <c r="M22" s="8"/>
      <c r="N22" s="8"/>
      <c r="O22" s="8"/>
      <c r="P22" s="8"/>
      <c r="Q22" s="8"/>
      <c r="R22" s="8"/>
      <c r="S22" s="8"/>
      <c r="T22" s="8"/>
      <c r="U22" s="8"/>
    </row>
    <row r="23" spans="1:21" ht="26" x14ac:dyDescent="0.35">
      <c r="A23" s="39"/>
      <c r="B23" s="39"/>
      <c r="C23" s="39"/>
      <c r="D23" s="7" t="s">
        <v>60</v>
      </c>
      <c r="E23" s="7" t="s">
        <v>39</v>
      </c>
      <c r="F23" s="8" t="s">
        <v>40</v>
      </c>
      <c r="G23" s="9" t="s">
        <v>40</v>
      </c>
      <c r="H23" s="7" t="s">
        <v>37</v>
      </c>
      <c r="I23" s="7" t="s">
        <v>20</v>
      </c>
      <c r="J23" s="7" t="s">
        <v>95</v>
      </c>
      <c r="K23" s="13" t="s">
        <v>77</v>
      </c>
      <c r="L23" s="7" t="s">
        <v>23</v>
      </c>
      <c r="M23" s="8"/>
      <c r="N23" s="8"/>
      <c r="O23" s="8"/>
      <c r="P23" s="8"/>
      <c r="Q23" s="8"/>
      <c r="R23" s="8"/>
      <c r="S23" s="8"/>
      <c r="T23" s="8"/>
      <c r="U23" s="8"/>
    </row>
    <row r="24" spans="1:21" x14ac:dyDescent="0.35">
      <c r="A24" s="39"/>
      <c r="B24" s="39"/>
      <c r="C24" s="39"/>
      <c r="D24" s="39" t="s">
        <v>16</v>
      </c>
      <c r="E24" s="7" t="s">
        <v>96</v>
      </c>
      <c r="F24" s="7" t="s">
        <v>97</v>
      </c>
      <c r="G24" s="7" t="s">
        <v>98</v>
      </c>
      <c r="H24" s="7" t="s">
        <v>37</v>
      </c>
      <c r="I24" s="7" t="s">
        <v>20</v>
      </c>
      <c r="J24" s="7" t="s">
        <v>99</v>
      </c>
      <c r="K24" s="13" t="s">
        <v>22</v>
      </c>
      <c r="L24" s="7" t="s">
        <v>100</v>
      </c>
      <c r="M24" s="8"/>
      <c r="N24" s="8"/>
      <c r="O24" s="8"/>
      <c r="P24" s="8"/>
      <c r="Q24" s="8"/>
      <c r="R24" s="8"/>
      <c r="S24" s="8"/>
      <c r="T24" s="8"/>
      <c r="U24" s="8"/>
    </row>
    <row r="25" spans="1:21" x14ac:dyDescent="0.35">
      <c r="A25" s="39"/>
      <c r="B25" s="39"/>
      <c r="C25" s="39"/>
      <c r="D25" s="39"/>
      <c r="E25" s="7" t="s">
        <v>101</v>
      </c>
      <c r="F25" s="7" t="s">
        <v>102</v>
      </c>
      <c r="G25" s="7" t="s">
        <v>103</v>
      </c>
      <c r="H25" s="7" t="s">
        <v>37</v>
      </c>
      <c r="I25" s="7" t="s">
        <v>20</v>
      </c>
      <c r="J25" s="7" t="s">
        <v>104</v>
      </c>
      <c r="K25" s="13" t="s">
        <v>22</v>
      </c>
      <c r="L25" s="7" t="s">
        <v>105</v>
      </c>
      <c r="M25" s="8"/>
      <c r="N25" s="8"/>
      <c r="O25" s="8"/>
      <c r="P25" s="8"/>
      <c r="Q25" s="8"/>
      <c r="R25" s="8"/>
      <c r="S25" s="8"/>
      <c r="T25" s="8"/>
      <c r="U25" s="8"/>
    </row>
    <row r="26" spans="1:21" x14ac:dyDescent="0.35">
      <c r="A26" s="39"/>
      <c r="B26" s="39"/>
      <c r="C26" s="39"/>
      <c r="D26" s="39" t="s">
        <v>60</v>
      </c>
      <c r="E26" s="7" t="s">
        <v>96</v>
      </c>
      <c r="F26" s="7" t="s">
        <v>97</v>
      </c>
      <c r="G26" s="7" t="s">
        <v>97</v>
      </c>
      <c r="H26" s="7" t="s">
        <v>37</v>
      </c>
      <c r="I26" s="7" t="s">
        <v>20</v>
      </c>
      <c r="J26" s="7" t="s">
        <v>106</v>
      </c>
      <c r="K26" s="13" t="s">
        <v>22</v>
      </c>
      <c r="L26" s="7" t="s">
        <v>107</v>
      </c>
      <c r="M26" s="8"/>
      <c r="N26" s="8"/>
      <c r="O26" s="8"/>
      <c r="P26" s="8"/>
      <c r="Q26" s="8"/>
      <c r="R26" s="8"/>
      <c r="S26" s="8"/>
      <c r="T26" s="8"/>
      <c r="U26" s="8"/>
    </row>
    <row r="27" spans="1:21" x14ac:dyDescent="0.35">
      <c r="A27" s="39"/>
      <c r="B27" s="39"/>
      <c r="C27" s="39"/>
      <c r="D27" s="39"/>
      <c r="E27" s="7" t="s">
        <v>101</v>
      </c>
      <c r="F27" s="7" t="s">
        <v>102</v>
      </c>
      <c r="G27" s="7" t="s">
        <v>102</v>
      </c>
      <c r="H27" s="7" t="s">
        <v>37</v>
      </c>
      <c r="I27" s="7" t="s">
        <v>20</v>
      </c>
      <c r="J27" s="7" t="s">
        <v>108</v>
      </c>
      <c r="K27" s="13" t="s">
        <v>22</v>
      </c>
      <c r="L27" s="7" t="s">
        <v>109</v>
      </c>
      <c r="M27" s="8"/>
      <c r="N27" s="8"/>
      <c r="O27" s="8"/>
      <c r="P27" s="8"/>
      <c r="Q27" s="8"/>
      <c r="R27" s="8"/>
      <c r="S27" s="8"/>
      <c r="T27" s="8"/>
      <c r="U27" s="8"/>
    </row>
    <row r="28" spans="1:21" ht="63" customHeight="1" x14ac:dyDescent="0.35">
      <c r="A28" s="39"/>
      <c r="B28" s="39" t="s">
        <v>110</v>
      </c>
      <c r="C28" s="39"/>
      <c r="D28" s="7" t="s">
        <v>16</v>
      </c>
      <c r="E28" s="7" t="s">
        <v>44</v>
      </c>
      <c r="F28" s="8" t="s">
        <v>45</v>
      </c>
      <c r="G28" s="11" t="s">
        <v>46</v>
      </c>
      <c r="H28" s="7" t="s">
        <v>37</v>
      </c>
      <c r="I28" s="7" t="s">
        <v>111</v>
      </c>
      <c r="J28" s="7" t="s">
        <v>94</v>
      </c>
      <c r="K28" s="9" t="s">
        <v>77</v>
      </c>
      <c r="L28" s="7" t="s">
        <v>23</v>
      </c>
      <c r="M28" s="8"/>
      <c r="N28" s="8"/>
      <c r="O28" s="8"/>
      <c r="P28" s="8"/>
      <c r="Q28" s="8"/>
      <c r="R28" s="8"/>
      <c r="S28" s="8"/>
      <c r="T28" s="8"/>
      <c r="U28" s="8"/>
    </row>
    <row r="29" spans="1:21" ht="63" customHeight="1" x14ac:dyDescent="0.35">
      <c r="A29" s="39"/>
      <c r="B29" s="39"/>
      <c r="C29" s="39"/>
      <c r="D29" s="7" t="s">
        <v>60</v>
      </c>
      <c r="E29" s="7" t="s">
        <v>44</v>
      </c>
      <c r="F29" s="8" t="s">
        <v>45</v>
      </c>
      <c r="G29" s="9" t="s">
        <v>64</v>
      </c>
      <c r="H29" s="7" t="s">
        <v>37</v>
      </c>
      <c r="I29" s="7" t="s">
        <v>112</v>
      </c>
      <c r="J29" s="7" t="s">
        <v>95</v>
      </c>
      <c r="K29" s="9" t="s">
        <v>77</v>
      </c>
      <c r="L29" s="7" t="s">
        <v>23</v>
      </c>
      <c r="M29" s="8"/>
      <c r="N29" s="8"/>
      <c r="O29" s="8"/>
      <c r="P29" s="8"/>
      <c r="Q29" s="8"/>
      <c r="R29" s="8"/>
      <c r="S29" s="8"/>
      <c r="T29" s="8"/>
      <c r="U29" s="8"/>
    </row>
    <row r="30" spans="1:21" ht="60" customHeight="1" x14ac:dyDescent="0.35">
      <c r="A30" s="39"/>
      <c r="B30" s="39" t="s">
        <v>113</v>
      </c>
      <c r="C30" s="39"/>
      <c r="D30" s="7" t="s">
        <v>16</v>
      </c>
      <c r="E30" s="7" t="s">
        <v>48</v>
      </c>
      <c r="F30" s="8" t="s">
        <v>49</v>
      </c>
      <c r="G30" s="11" t="s">
        <v>50</v>
      </c>
      <c r="H30" s="7" t="s">
        <v>37</v>
      </c>
      <c r="I30" s="7" t="s">
        <v>114</v>
      </c>
      <c r="J30" s="7" t="s">
        <v>76</v>
      </c>
      <c r="K30" s="9" t="s">
        <v>77</v>
      </c>
      <c r="L30" s="7" t="s">
        <v>23</v>
      </c>
      <c r="M30" s="8"/>
      <c r="N30" s="8"/>
      <c r="O30" s="8"/>
      <c r="P30" s="8"/>
      <c r="Q30" s="8"/>
      <c r="R30" s="8"/>
      <c r="S30" s="8"/>
      <c r="T30" s="8"/>
      <c r="U30" s="8"/>
    </row>
    <row r="31" spans="1:21" ht="60" customHeight="1" x14ac:dyDescent="0.35">
      <c r="A31" s="39"/>
      <c r="B31" s="39"/>
      <c r="C31" s="39"/>
      <c r="D31" s="7" t="s">
        <v>60</v>
      </c>
      <c r="E31" s="7" t="s">
        <v>48</v>
      </c>
      <c r="F31" s="8" t="s">
        <v>49</v>
      </c>
      <c r="G31" s="9" t="s">
        <v>66</v>
      </c>
      <c r="H31" s="7" t="s">
        <v>37</v>
      </c>
      <c r="I31" s="7" t="s">
        <v>115</v>
      </c>
      <c r="J31" s="7" t="s">
        <v>76</v>
      </c>
      <c r="K31" s="9" t="s">
        <v>77</v>
      </c>
      <c r="L31" s="7" t="s">
        <v>23</v>
      </c>
      <c r="M31" s="8"/>
      <c r="N31" s="8"/>
      <c r="O31" s="8"/>
      <c r="P31" s="8"/>
      <c r="Q31" s="8"/>
      <c r="R31" s="8"/>
      <c r="S31" s="8"/>
      <c r="T31" s="8"/>
      <c r="U31" s="8"/>
    </row>
    <row r="32" spans="1:21" ht="55" customHeight="1" x14ac:dyDescent="0.35">
      <c r="A32" s="39"/>
      <c r="B32" s="39" t="s">
        <v>116</v>
      </c>
      <c r="C32" s="39"/>
      <c r="D32" s="7" t="s">
        <v>16</v>
      </c>
      <c r="E32" s="7" t="s">
        <v>52</v>
      </c>
      <c r="F32" s="8" t="s">
        <v>53</v>
      </c>
      <c r="G32" s="9" t="s">
        <v>54</v>
      </c>
      <c r="H32" s="7" t="s">
        <v>37</v>
      </c>
      <c r="I32" s="7" t="s">
        <v>117</v>
      </c>
      <c r="J32" s="7" t="s">
        <v>94</v>
      </c>
      <c r="K32" s="9" t="s">
        <v>77</v>
      </c>
      <c r="L32" s="7" t="s">
        <v>23</v>
      </c>
      <c r="M32" s="8"/>
      <c r="N32" s="8"/>
      <c r="O32" s="8"/>
      <c r="P32" s="8"/>
      <c r="Q32" s="8"/>
      <c r="R32" s="8"/>
      <c r="S32" s="8"/>
      <c r="T32" s="8"/>
      <c r="U32" s="8"/>
    </row>
    <row r="33" spans="1:21" ht="55" customHeight="1" x14ac:dyDescent="0.35">
      <c r="A33" s="39"/>
      <c r="B33" s="39"/>
      <c r="C33" s="39"/>
      <c r="D33" s="7" t="s">
        <v>60</v>
      </c>
      <c r="E33" s="7" t="s">
        <v>52</v>
      </c>
      <c r="F33" s="8" t="s">
        <v>53</v>
      </c>
      <c r="G33" s="9" t="s">
        <v>68</v>
      </c>
      <c r="H33" s="7" t="s">
        <v>37</v>
      </c>
      <c r="I33" s="7" t="s">
        <v>118</v>
      </c>
      <c r="J33" s="7" t="s">
        <v>95</v>
      </c>
      <c r="K33" s="9" t="s">
        <v>77</v>
      </c>
      <c r="L33" s="7" t="s">
        <v>23</v>
      </c>
      <c r="M33" s="8"/>
      <c r="N33" s="8"/>
      <c r="O33" s="8"/>
      <c r="P33" s="8"/>
      <c r="Q33" s="8"/>
      <c r="R33" s="8"/>
      <c r="S33" s="8"/>
      <c r="T33" s="8"/>
      <c r="U33" s="8"/>
    </row>
    <row r="34" spans="1:21" ht="59" customHeight="1" x14ac:dyDescent="0.35">
      <c r="A34" s="39"/>
      <c r="B34" s="39" t="s">
        <v>119</v>
      </c>
      <c r="C34" s="39"/>
      <c r="D34" s="7" t="s">
        <v>16</v>
      </c>
      <c r="E34" s="7" t="s">
        <v>56</v>
      </c>
      <c r="F34" s="8" t="s">
        <v>57</v>
      </c>
      <c r="G34" s="9" t="s">
        <v>70</v>
      </c>
      <c r="H34" s="7" t="s">
        <v>37</v>
      </c>
      <c r="I34" s="7" t="s">
        <v>120</v>
      </c>
      <c r="J34" s="7" t="s">
        <v>76</v>
      </c>
      <c r="K34" s="9" t="s">
        <v>77</v>
      </c>
      <c r="L34" s="7" t="s">
        <v>23</v>
      </c>
      <c r="M34" s="8"/>
      <c r="N34" s="8"/>
      <c r="O34" s="8"/>
      <c r="P34" s="8"/>
      <c r="Q34" s="8"/>
      <c r="R34" s="8"/>
      <c r="S34" s="8"/>
      <c r="T34" s="8"/>
      <c r="U34" s="8"/>
    </row>
    <row r="35" spans="1:21" ht="59" customHeight="1" x14ac:dyDescent="0.35">
      <c r="A35" s="39"/>
      <c r="B35" s="39"/>
      <c r="C35" s="39"/>
      <c r="D35" s="7" t="s">
        <v>60</v>
      </c>
      <c r="E35" s="7" t="s">
        <v>56</v>
      </c>
      <c r="F35" s="8" t="s">
        <v>57</v>
      </c>
      <c r="G35" s="11" t="s">
        <v>58</v>
      </c>
      <c r="H35" s="7" t="s">
        <v>37</v>
      </c>
      <c r="I35" s="7" t="s">
        <v>121</v>
      </c>
      <c r="J35" s="7" t="s">
        <v>76</v>
      </c>
      <c r="K35" s="9" t="s">
        <v>77</v>
      </c>
      <c r="L35" s="7" t="s">
        <v>23</v>
      </c>
      <c r="M35" s="8"/>
      <c r="N35" s="8"/>
      <c r="O35" s="8"/>
      <c r="P35" s="8"/>
      <c r="Q35" s="8"/>
      <c r="R35" s="8"/>
      <c r="S35" s="8"/>
      <c r="T35" s="8"/>
      <c r="U35" s="8"/>
    </row>
    <row r="36" spans="1:21" ht="26" x14ac:dyDescent="0.35">
      <c r="A36" s="39"/>
      <c r="B36" s="7"/>
      <c r="C36" s="39"/>
      <c r="D36" s="39" t="s">
        <v>122</v>
      </c>
      <c r="E36" s="7" t="s">
        <v>39</v>
      </c>
      <c r="F36" s="8"/>
      <c r="G36" s="11"/>
      <c r="H36" s="7" t="s">
        <v>123</v>
      </c>
      <c r="I36" s="9" t="s">
        <v>124</v>
      </c>
      <c r="J36" s="7"/>
      <c r="K36" s="9" t="s">
        <v>125</v>
      </c>
      <c r="L36" s="8"/>
      <c r="M36" s="8"/>
      <c r="N36" s="8"/>
      <c r="O36" s="8"/>
      <c r="P36" s="8"/>
      <c r="Q36" s="8"/>
      <c r="R36" s="8"/>
      <c r="S36" s="8"/>
      <c r="T36" s="8"/>
      <c r="U36" s="8"/>
    </row>
    <row r="37" spans="1:21" ht="182" x14ac:dyDescent="0.35">
      <c r="A37" s="39"/>
      <c r="B37" s="39" t="s">
        <v>126</v>
      </c>
      <c r="C37" s="39"/>
      <c r="D37" s="39"/>
      <c r="E37" s="7" t="s">
        <v>127</v>
      </c>
      <c r="F37" s="8" t="s">
        <v>128</v>
      </c>
      <c r="G37" s="11" t="s">
        <v>129</v>
      </c>
      <c r="H37" s="7" t="s">
        <v>130</v>
      </c>
      <c r="I37" s="9" t="s">
        <v>131</v>
      </c>
      <c r="J37" s="7"/>
      <c r="K37" s="9" t="s">
        <v>132</v>
      </c>
      <c r="L37" s="8"/>
      <c r="M37" s="8"/>
      <c r="N37" s="8"/>
      <c r="O37" s="8"/>
      <c r="P37" s="8"/>
      <c r="Q37" s="8"/>
      <c r="R37" s="8"/>
      <c r="S37" s="8"/>
      <c r="T37" s="8"/>
      <c r="U37" s="8"/>
    </row>
    <row r="38" spans="1:21" ht="26" x14ac:dyDescent="0.35">
      <c r="A38" s="39"/>
      <c r="B38" s="39"/>
      <c r="C38" s="39"/>
      <c r="D38" s="39"/>
      <c r="E38" s="7" t="s">
        <v>133</v>
      </c>
      <c r="F38" s="8" t="s">
        <v>134</v>
      </c>
      <c r="G38" s="11" t="s">
        <v>135</v>
      </c>
      <c r="H38" s="7" t="s">
        <v>123</v>
      </c>
      <c r="I38" s="7" t="s">
        <v>136</v>
      </c>
      <c r="J38" s="7"/>
      <c r="K38" s="9" t="s">
        <v>132</v>
      </c>
      <c r="L38" s="8"/>
      <c r="M38" s="8"/>
      <c r="N38" s="8"/>
      <c r="O38" s="8"/>
      <c r="P38" s="8"/>
      <c r="Q38" s="8"/>
      <c r="R38" s="8"/>
      <c r="S38" s="8"/>
      <c r="T38" s="8"/>
      <c r="U38" s="8"/>
    </row>
    <row r="39" spans="1:21" x14ac:dyDescent="0.35">
      <c r="A39" s="39"/>
      <c r="B39" s="39"/>
      <c r="C39" s="39"/>
      <c r="D39" s="39"/>
      <c r="E39" s="7" t="s">
        <v>137</v>
      </c>
      <c r="F39" s="8" t="s">
        <v>138</v>
      </c>
      <c r="G39" s="11" t="s">
        <v>139</v>
      </c>
      <c r="H39" s="7" t="s">
        <v>123</v>
      </c>
      <c r="I39" s="7" t="s">
        <v>140</v>
      </c>
      <c r="J39" s="7"/>
      <c r="K39" s="11"/>
      <c r="L39" s="8"/>
      <c r="M39" s="8"/>
      <c r="N39" s="8"/>
      <c r="O39" s="8"/>
      <c r="P39" s="8"/>
      <c r="Q39" s="8"/>
      <c r="R39" s="8"/>
      <c r="S39" s="8"/>
      <c r="T39" s="8"/>
      <c r="U39" s="8"/>
    </row>
    <row r="40" spans="1:21" ht="26" x14ac:dyDescent="0.35">
      <c r="A40" s="39"/>
      <c r="B40" s="39"/>
      <c r="C40" s="39"/>
      <c r="D40" s="39" t="s">
        <v>141</v>
      </c>
      <c r="E40" s="7" t="s">
        <v>73</v>
      </c>
      <c r="F40" s="8"/>
      <c r="G40" s="11"/>
      <c r="H40" s="7" t="s">
        <v>123</v>
      </c>
      <c r="I40" s="7" t="s">
        <v>142</v>
      </c>
      <c r="J40" s="7"/>
      <c r="K40" s="9" t="s">
        <v>125</v>
      </c>
      <c r="L40" s="8"/>
      <c r="M40" s="8"/>
      <c r="N40" s="8"/>
      <c r="O40" s="8"/>
      <c r="P40" s="8"/>
      <c r="Q40" s="8"/>
      <c r="R40" s="8"/>
      <c r="S40" s="8"/>
      <c r="T40" s="8"/>
      <c r="U40" s="8"/>
    </row>
    <row r="41" spans="1:21" ht="182" x14ac:dyDescent="0.35">
      <c r="A41" s="39"/>
      <c r="B41" s="39"/>
      <c r="C41" s="39"/>
      <c r="D41" s="39"/>
      <c r="E41" s="7" t="s">
        <v>127</v>
      </c>
      <c r="F41" s="8" t="s">
        <v>128</v>
      </c>
      <c r="G41" s="11" t="s">
        <v>129</v>
      </c>
      <c r="H41" s="7" t="s">
        <v>130</v>
      </c>
      <c r="I41" s="9" t="s">
        <v>143</v>
      </c>
      <c r="J41" s="7"/>
      <c r="K41" s="9" t="s">
        <v>132</v>
      </c>
      <c r="L41" s="8"/>
      <c r="M41" s="8"/>
      <c r="N41" s="8"/>
      <c r="O41" s="8"/>
      <c r="P41" s="8"/>
      <c r="Q41" s="8"/>
      <c r="R41" s="8"/>
      <c r="S41" s="8"/>
      <c r="T41" s="8"/>
      <c r="U41" s="8"/>
    </row>
    <row r="42" spans="1:21" ht="26" x14ac:dyDescent="0.35">
      <c r="A42" s="39"/>
      <c r="B42" s="39"/>
      <c r="C42" s="39"/>
      <c r="D42" s="39"/>
      <c r="E42" s="7" t="s">
        <v>133</v>
      </c>
      <c r="F42" s="8" t="s">
        <v>134</v>
      </c>
      <c r="G42" s="11" t="s">
        <v>135</v>
      </c>
      <c r="H42" s="7" t="s">
        <v>123</v>
      </c>
      <c r="I42" s="7" t="s">
        <v>144</v>
      </c>
      <c r="J42" s="7"/>
      <c r="K42" s="9" t="s">
        <v>132</v>
      </c>
      <c r="L42" s="8"/>
      <c r="M42" s="8"/>
      <c r="N42" s="8"/>
      <c r="O42" s="8"/>
      <c r="P42" s="8"/>
      <c r="Q42" s="8"/>
      <c r="R42" s="8"/>
      <c r="S42" s="8"/>
      <c r="T42" s="8"/>
      <c r="U42" s="8"/>
    </row>
    <row r="43" spans="1:21" x14ac:dyDescent="0.35">
      <c r="A43" s="39"/>
      <c r="B43" s="39"/>
      <c r="C43" s="39"/>
      <c r="D43" s="39"/>
      <c r="E43" s="7" t="s">
        <v>137</v>
      </c>
      <c r="F43" s="8" t="s">
        <v>138</v>
      </c>
      <c r="G43" s="11" t="s">
        <v>139</v>
      </c>
      <c r="H43" s="7" t="s">
        <v>123</v>
      </c>
      <c r="I43" s="7" t="s">
        <v>140</v>
      </c>
      <c r="J43" s="7"/>
      <c r="K43" s="11"/>
      <c r="L43" s="8"/>
      <c r="M43" s="8"/>
      <c r="N43" s="8"/>
      <c r="O43" s="8"/>
      <c r="P43" s="8"/>
      <c r="Q43" s="8"/>
      <c r="R43" s="8"/>
      <c r="S43" s="8"/>
      <c r="T43" s="8"/>
      <c r="U43" s="8"/>
    </row>
    <row r="44" spans="1:21" ht="46.4" customHeight="1" x14ac:dyDescent="0.35">
      <c r="A44" s="39"/>
      <c r="B44" s="39"/>
      <c r="C44" s="39"/>
      <c r="D44" s="7" t="s">
        <v>16</v>
      </c>
      <c r="E44" s="7" t="s">
        <v>145</v>
      </c>
      <c r="F44" s="8" t="s">
        <v>40</v>
      </c>
      <c r="G44" s="9" t="s">
        <v>41</v>
      </c>
      <c r="H44" s="7" t="s">
        <v>130</v>
      </c>
      <c r="I44" s="7" t="s">
        <v>146</v>
      </c>
      <c r="J44" s="7"/>
      <c r="K44" s="9" t="s">
        <v>125</v>
      </c>
      <c r="L44" s="8"/>
      <c r="M44" s="8"/>
      <c r="N44" s="8"/>
      <c r="O44" s="8"/>
      <c r="P44" s="8"/>
      <c r="Q44" s="8"/>
      <c r="R44" s="8"/>
      <c r="S44" s="8"/>
      <c r="T44" s="8"/>
      <c r="U44" s="8"/>
    </row>
    <row r="45" spans="1:21" ht="46.4" customHeight="1" x14ac:dyDescent="0.35">
      <c r="A45" s="39"/>
      <c r="B45" s="39"/>
      <c r="C45" s="39"/>
      <c r="D45" s="7" t="s">
        <v>16</v>
      </c>
      <c r="E45" s="7" t="s">
        <v>147</v>
      </c>
      <c r="F45" s="8" t="s">
        <v>74</v>
      </c>
      <c r="G45" s="9" t="s">
        <v>74</v>
      </c>
      <c r="H45" s="7" t="s">
        <v>130</v>
      </c>
      <c r="I45" s="7" t="s">
        <v>148</v>
      </c>
      <c r="J45" s="7"/>
      <c r="K45" s="9" t="s">
        <v>125</v>
      </c>
      <c r="L45" s="8"/>
      <c r="M45" s="8"/>
      <c r="N45" s="8"/>
      <c r="O45" s="8"/>
      <c r="P45" s="8"/>
      <c r="Q45" s="8"/>
      <c r="R45" s="8"/>
      <c r="S45" s="8"/>
      <c r="T45" s="8"/>
      <c r="U45" s="8"/>
    </row>
    <row r="46" spans="1:21" ht="26" x14ac:dyDescent="0.35">
      <c r="A46" s="39"/>
      <c r="B46" s="39"/>
      <c r="C46" s="39"/>
      <c r="D46" s="7" t="s">
        <v>16</v>
      </c>
      <c r="E46" s="7" t="s">
        <v>149</v>
      </c>
      <c r="F46" s="8" t="s">
        <v>40</v>
      </c>
      <c r="G46" s="9" t="s">
        <v>41</v>
      </c>
      <c r="H46" s="7" t="s">
        <v>123</v>
      </c>
      <c r="I46" s="7" t="s">
        <v>150</v>
      </c>
      <c r="J46" s="7" t="s">
        <v>151</v>
      </c>
      <c r="K46" s="9" t="s">
        <v>125</v>
      </c>
      <c r="L46" s="8"/>
      <c r="M46" s="8"/>
      <c r="N46" s="8"/>
      <c r="O46" s="8"/>
      <c r="P46" s="8"/>
      <c r="Q46" s="8"/>
      <c r="R46" s="8"/>
      <c r="S46" s="8"/>
      <c r="T46" s="8"/>
      <c r="U46" s="8"/>
    </row>
    <row r="47" spans="1:21" ht="70" customHeight="1" x14ac:dyDescent="0.35">
      <c r="A47" s="39"/>
      <c r="B47" s="39"/>
      <c r="C47" s="39"/>
      <c r="D47" s="7" t="s">
        <v>16</v>
      </c>
      <c r="E47" s="7" t="s">
        <v>152</v>
      </c>
      <c r="F47" s="8" t="s">
        <v>74</v>
      </c>
      <c r="G47" s="9" t="s">
        <v>74</v>
      </c>
      <c r="H47" s="7" t="s">
        <v>123</v>
      </c>
      <c r="I47" s="7" t="s">
        <v>153</v>
      </c>
      <c r="J47" s="7"/>
      <c r="K47" s="9" t="s">
        <v>125</v>
      </c>
      <c r="L47" s="8"/>
      <c r="M47" s="8"/>
      <c r="N47" s="8"/>
      <c r="O47" s="8"/>
      <c r="P47" s="8"/>
      <c r="Q47" s="8"/>
      <c r="R47" s="8"/>
      <c r="S47" s="8"/>
      <c r="T47" s="8"/>
      <c r="U47" s="8"/>
    </row>
    <row r="48" spans="1:21" ht="45.4" customHeight="1" x14ac:dyDescent="0.35">
      <c r="A48" s="39"/>
      <c r="B48" s="39"/>
      <c r="C48" s="39"/>
      <c r="D48" s="7" t="s">
        <v>16</v>
      </c>
      <c r="E48" s="7" t="s">
        <v>154</v>
      </c>
      <c r="F48" s="8" t="s">
        <v>40</v>
      </c>
      <c r="G48" s="9" t="s">
        <v>41</v>
      </c>
      <c r="H48" s="7" t="s">
        <v>130</v>
      </c>
      <c r="I48" s="7" t="s">
        <v>155</v>
      </c>
      <c r="J48" s="7"/>
      <c r="K48" s="9" t="s">
        <v>125</v>
      </c>
      <c r="L48" s="8"/>
      <c r="M48" s="8"/>
      <c r="N48" s="8"/>
      <c r="O48" s="8"/>
      <c r="P48" s="8"/>
      <c r="Q48" s="8"/>
      <c r="R48" s="8"/>
      <c r="S48" s="8"/>
      <c r="T48" s="8"/>
      <c r="U48" s="8"/>
    </row>
    <row r="49" spans="1:21" ht="45.4" customHeight="1" x14ac:dyDescent="0.35">
      <c r="A49" s="39"/>
      <c r="B49" s="39"/>
      <c r="C49" s="39"/>
      <c r="D49" s="7" t="s">
        <v>16</v>
      </c>
      <c r="E49" s="7" t="s">
        <v>156</v>
      </c>
      <c r="F49" s="8" t="s">
        <v>74</v>
      </c>
      <c r="G49" s="9" t="s">
        <v>74</v>
      </c>
      <c r="H49" s="7" t="s">
        <v>130</v>
      </c>
      <c r="I49" s="7" t="s">
        <v>157</v>
      </c>
      <c r="J49" s="7"/>
      <c r="K49" s="9" t="s">
        <v>125</v>
      </c>
      <c r="L49" s="8"/>
      <c r="M49" s="8"/>
      <c r="N49" s="8"/>
      <c r="O49" s="8"/>
      <c r="P49" s="8"/>
      <c r="Q49" s="8"/>
      <c r="R49" s="8"/>
      <c r="S49" s="8"/>
      <c r="T49" s="8"/>
      <c r="U49" s="8"/>
    </row>
    <row r="50" spans="1:21" ht="50" customHeight="1" x14ac:dyDescent="0.35">
      <c r="A50" s="41"/>
      <c r="B50" s="41" t="s">
        <v>158</v>
      </c>
      <c r="C50" s="41"/>
      <c r="D50" s="15" t="s">
        <v>16</v>
      </c>
      <c r="E50" s="15" t="s">
        <v>159</v>
      </c>
      <c r="F50" s="16" t="s">
        <v>160</v>
      </c>
      <c r="G50" s="17" t="s">
        <v>161</v>
      </c>
      <c r="H50" s="15" t="s">
        <v>162</v>
      </c>
      <c r="I50" s="15" t="s">
        <v>163</v>
      </c>
      <c r="J50" s="15" t="s">
        <v>164</v>
      </c>
      <c r="K50" s="18" t="s">
        <v>165</v>
      </c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spans="1:21" ht="50" customHeight="1" x14ac:dyDescent="0.35">
      <c r="A51" s="41"/>
      <c r="B51" s="41"/>
      <c r="C51" s="41"/>
      <c r="D51" s="15" t="s">
        <v>16</v>
      </c>
      <c r="E51" s="16" t="s">
        <v>166</v>
      </c>
      <c r="F51" s="16" t="s">
        <v>167</v>
      </c>
      <c r="G51" s="17" t="s">
        <v>168</v>
      </c>
      <c r="H51" s="15" t="s">
        <v>162</v>
      </c>
      <c r="I51" s="15" t="s">
        <v>169</v>
      </c>
      <c r="J51" s="15" t="s">
        <v>170</v>
      </c>
      <c r="K51" s="18" t="s">
        <v>165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 spans="1:21" ht="40.4" customHeight="1" x14ac:dyDescent="0.35">
      <c r="A52" s="40"/>
      <c r="B52" s="19" t="s">
        <v>171</v>
      </c>
      <c r="C52" s="20"/>
      <c r="D52" s="19" t="s">
        <v>16</v>
      </c>
      <c r="E52" s="19" t="s">
        <v>171</v>
      </c>
      <c r="F52" s="20" t="s">
        <v>172</v>
      </c>
      <c r="G52" s="21" t="s">
        <v>173</v>
      </c>
      <c r="H52" s="19" t="s">
        <v>174</v>
      </c>
      <c r="I52" s="19" t="s">
        <v>175</v>
      </c>
      <c r="J52" s="19"/>
      <c r="K52" s="22" t="s">
        <v>165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spans="1:21" x14ac:dyDescent="0.35">
      <c r="D53" s="24"/>
      <c r="G53" s="23"/>
      <c r="K53" s="23"/>
    </row>
    <row r="54" spans="1:21" x14ac:dyDescent="0.35">
      <c r="G54" s="23"/>
      <c r="K54" s="23"/>
    </row>
    <row r="55" spans="1:21" x14ac:dyDescent="0.35">
      <c r="G55" s="23"/>
      <c r="K55" s="23"/>
    </row>
    <row r="56" spans="1:21" x14ac:dyDescent="0.35">
      <c r="G56" s="23"/>
      <c r="K56" s="23"/>
    </row>
    <row r="57" spans="1:21" x14ac:dyDescent="0.35">
      <c r="G57" s="23"/>
      <c r="K57" s="23"/>
    </row>
    <row r="58" spans="1:21" x14ac:dyDescent="0.35">
      <c r="G58" s="23"/>
      <c r="K58" s="23"/>
    </row>
    <row r="59" spans="1:21" x14ac:dyDescent="0.35">
      <c r="G59" s="23"/>
      <c r="K59" s="23"/>
    </row>
    <row r="60" spans="1:21" x14ac:dyDescent="0.35">
      <c r="G60" s="23"/>
      <c r="K60" s="23"/>
    </row>
    <row r="61" spans="1:21" x14ac:dyDescent="0.35">
      <c r="G61" s="23"/>
      <c r="K61" s="23"/>
    </row>
    <row r="62" spans="1:21" x14ac:dyDescent="0.35">
      <c r="G62" s="23"/>
      <c r="K62" s="23"/>
    </row>
    <row r="63" spans="1:21" x14ac:dyDescent="0.35">
      <c r="G63" s="23"/>
      <c r="K63" s="23"/>
    </row>
    <row r="64" spans="1:21" x14ac:dyDescent="0.35">
      <c r="G64" s="23"/>
      <c r="K64" s="23"/>
    </row>
    <row r="65" spans="7:11" x14ac:dyDescent="0.35">
      <c r="G65" s="23"/>
      <c r="K65" s="23"/>
    </row>
    <row r="66" spans="7:11" x14ac:dyDescent="0.35">
      <c r="G66" s="23"/>
      <c r="K66" s="23"/>
    </row>
    <row r="67" spans="7:11" x14ac:dyDescent="0.35">
      <c r="G67" s="23"/>
      <c r="K67" s="23"/>
    </row>
    <row r="68" spans="7:11" x14ac:dyDescent="0.35">
      <c r="G68" s="23"/>
      <c r="K68" s="23"/>
    </row>
    <row r="69" spans="7:11" x14ac:dyDescent="0.35">
      <c r="G69" s="23"/>
      <c r="K69" s="23"/>
    </row>
    <row r="70" spans="7:11" x14ac:dyDescent="0.35">
      <c r="G70" s="23"/>
      <c r="K70" s="23"/>
    </row>
    <row r="71" spans="7:11" x14ac:dyDescent="0.35">
      <c r="G71" s="23"/>
      <c r="K71" s="23"/>
    </row>
    <row r="72" spans="7:11" x14ac:dyDescent="0.35">
      <c r="G72" s="23"/>
      <c r="K72" s="23"/>
    </row>
    <row r="73" spans="7:11" x14ac:dyDescent="0.35">
      <c r="G73" s="23"/>
      <c r="K73" s="23"/>
    </row>
    <row r="74" spans="7:11" x14ac:dyDescent="0.35">
      <c r="G74" s="23"/>
      <c r="K74" s="23"/>
    </row>
    <row r="75" spans="7:11" x14ac:dyDescent="0.35">
      <c r="G75" s="23"/>
      <c r="K75" s="23"/>
    </row>
    <row r="76" spans="7:11" x14ac:dyDescent="0.35">
      <c r="G76" s="23"/>
      <c r="K76" s="23"/>
    </row>
    <row r="77" spans="7:11" x14ac:dyDescent="0.35">
      <c r="G77" s="23"/>
      <c r="K77" s="23"/>
    </row>
    <row r="78" spans="7:11" x14ac:dyDescent="0.35">
      <c r="G78" s="23"/>
      <c r="K78" s="23"/>
    </row>
    <row r="79" spans="7:11" x14ac:dyDescent="0.35">
      <c r="G79" s="23"/>
      <c r="K79" s="23"/>
    </row>
    <row r="80" spans="7:11" x14ac:dyDescent="0.35">
      <c r="G80" s="23"/>
      <c r="K80" s="23"/>
    </row>
    <row r="81" spans="7:11" x14ac:dyDescent="0.35">
      <c r="G81" s="23"/>
      <c r="K81" s="23"/>
    </row>
    <row r="82" spans="7:11" x14ac:dyDescent="0.35">
      <c r="G82" s="23"/>
      <c r="K82" s="23"/>
    </row>
    <row r="83" spans="7:11" x14ac:dyDescent="0.35">
      <c r="G83" s="23"/>
      <c r="K83" s="23"/>
    </row>
    <row r="84" spans="7:11" x14ac:dyDescent="0.35">
      <c r="G84" s="23"/>
      <c r="K84" s="23"/>
    </row>
    <row r="85" spans="7:11" x14ac:dyDescent="0.35">
      <c r="G85" s="23"/>
      <c r="K85" s="23"/>
    </row>
    <row r="86" spans="7:11" x14ac:dyDescent="0.35">
      <c r="G86" s="23"/>
      <c r="K86" s="23"/>
    </row>
    <row r="87" spans="7:11" x14ac:dyDescent="0.35">
      <c r="G87" s="23"/>
      <c r="K87" s="23"/>
    </row>
    <row r="88" spans="7:11" x14ac:dyDescent="0.35">
      <c r="G88" s="23"/>
      <c r="K88" s="23"/>
    </row>
    <row r="89" spans="7:11" x14ac:dyDescent="0.35">
      <c r="G89" s="23"/>
      <c r="K89" s="23"/>
    </row>
    <row r="90" spans="7:11" x14ac:dyDescent="0.35">
      <c r="G90" s="23"/>
      <c r="K90" s="23"/>
    </row>
    <row r="91" spans="7:11" x14ac:dyDescent="0.35">
      <c r="G91" s="23"/>
      <c r="K91" s="23"/>
    </row>
    <row r="92" spans="7:11" x14ac:dyDescent="0.35">
      <c r="G92" s="23"/>
      <c r="K92" s="23"/>
    </row>
    <row r="93" spans="7:11" x14ac:dyDescent="0.35">
      <c r="G93" s="23"/>
      <c r="K93" s="23"/>
    </row>
    <row r="94" spans="7:11" x14ac:dyDescent="0.35">
      <c r="G94" s="23"/>
      <c r="K94" s="23"/>
    </row>
    <row r="95" spans="7:11" x14ac:dyDescent="0.35">
      <c r="G95" s="23"/>
      <c r="K95" s="23"/>
    </row>
    <row r="96" spans="7:11" x14ac:dyDescent="0.35">
      <c r="G96" s="23"/>
      <c r="K96" s="23"/>
    </row>
    <row r="97" spans="7:11" x14ac:dyDescent="0.35">
      <c r="G97" s="23"/>
      <c r="K97" s="23"/>
    </row>
    <row r="98" spans="7:11" x14ac:dyDescent="0.35">
      <c r="G98" s="23"/>
      <c r="K98" s="23"/>
    </row>
    <row r="99" spans="7:11" x14ac:dyDescent="0.35">
      <c r="G99" s="23"/>
      <c r="K99" s="23"/>
    </row>
    <row r="100" spans="7:11" x14ac:dyDescent="0.35">
      <c r="G100" s="23"/>
      <c r="K100" s="23"/>
    </row>
    <row r="101" spans="7:11" x14ac:dyDescent="0.35">
      <c r="G101" s="23"/>
      <c r="K101" s="23"/>
    </row>
    <row r="102" spans="7:11" x14ac:dyDescent="0.35">
      <c r="G102" s="23"/>
      <c r="K102" s="23"/>
    </row>
    <row r="103" spans="7:11" x14ac:dyDescent="0.35">
      <c r="G103" s="23"/>
      <c r="K103" s="23"/>
    </row>
    <row r="104" spans="7:11" x14ac:dyDescent="0.35">
      <c r="G104" s="23"/>
      <c r="K104" s="23"/>
    </row>
    <row r="105" spans="7:11" x14ac:dyDescent="0.35">
      <c r="G105" s="23"/>
      <c r="K105" s="23"/>
    </row>
    <row r="106" spans="7:11" x14ac:dyDescent="0.35">
      <c r="G106" s="23"/>
      <c r="K106" s="23"/>
    </row>
    <row r="107" spans="7:11" x14ac:dyDescent="0.35">
      <c r="G107" s="23"/>
      <c r="K107" s="23"/>
    </row>
    <row r="108" spans="7:11" x14ac:dyDescent="0.35">
      <c r="G108" s="23"/>
      <c r="K108" s="23"/>
    </row>
    <row r="109" spans="7:11" x14ac:dyDescent="0.35">
      <c r="G109" s="23"/>
      <c r="K109" s="23"/>
    </row>
    <row r="110" spans="7:11" x14ac:dyDescent="0.35">
      <c r="G110" s="23"/>
      <c r="K110" s="23"/>
    </row>
    <row r="111" spans="7:11" x14ac:dyDescent="0.35">
      <c r="G111" s="23"/>
      <c r="K111" s="23"/>
    </row>
    <row r="112" spans="7:11" x14ac:dyDescent="0.35">
      <c r="G112" s="23"/>
      <c r="K112" s="23"/>
    </row>
    <row r="113" spans="7:11" x14ac:dyDescent="0.35">
      <c r="G113" s="23"/>
      <c r="K113" s="23"/>
    </row>
    <row r="114" spans="7:11" x14ac:dyDescent="0.35">
      <c r="G114" s="23"/>
      <c r="K114" s="23"/>
    </row>
    <row r="115" spans="7:11" x14ac:dyDescent="0.35">
      <c r="G115" s="23"/>
      <c r="K115" s="23"/>
    </row>
    <row r="116" spans="7:11" x14ac:dyDescent="0.35">
      <c r="G116" s="23"/>
      <c r="K116" s="23"/>
    </row>
    <row r="117" spans="7:11" x14ac:dyDescent="0.35">
      <c r="G117" s="23"/>
      <c r="K117" s="23"/>
    </row>
    <row r="118" spans="7:11" x14ac:dyDescent="0.35">
      <c r="G118" s="23"/>
      <c r="K118" s="23"/>
    </row>
    <row r="119" spans="7:11" x14ac:dyDescent="0.35">
      <c r="G119" s="23"/>
      <c r="K119" s="23"/>
    </row>
    <row r="120" spans="7:11" x14ac:dyDescent="0.35">
      <c r="G120" s="23"/>
      <c r="K120" s="23"/>
    </row>
    <row r="121" spans="7:11" x14ac:dyDescent="0.35">
      <c r="G121" s="23"/>
      <c r="K121" s="23"/>
    </row>
    <row r="122" spans="7:11" x14ac:dyDescent="0.35">
      <c r="G122" s="23"/>
      <c r="K122" s="23"/>
    </row>
    <row r="123" spans="7:11" x14ac:dyDescent="0.35">
      <c r="G123" s="23"/>
      <c r="K123" s="23"/>
    </row>
    <row r="124" spans="7:11" x14ac:dyDescent="0.35">
      <c r="G124" s="23"/>
      <c r="K124" s="23"/>
    </row>
    <row r="125" spans="7:11" x14ac:dyDescent="0.35">
      <c r="G125" s="23"/>
      <c r="K125" s="23"/>
    </row>
    <row r="126" spans="7:11" x14ac:dyDescent="0.35">
      <c r="G126" s="23"/>
      <c r="K126" s="23"/>
    </row>
    <row r="127" spans="7:11" x14ac:dyDescent="0.35">
      <c r="G127" s="23"/>
      <c r="K127" s="23"/>
    </row>
    <row r="128" spans="7:11" x14ac:dyDescent="0.35">
      <c r="G128" s="23"/>
      <c r="K128" s="23"/>
    </row>
    <row r="129" spans="7:11" x14ac:dyDescent="0.35">
      <c r="G129" s="23"/>
      <c r="K129" s="23"/>
    </row>
    <row r="130" spans="7:11" x14ac:dyDescent="0.35">
      <c r="G130" s="23"/>
      <c r="K130" s="23"/>
    </row>
    <row r="131" spans="7:11" x14ac:dyDescent="0.35">
      <c r="G131" s="23"/>
      <c r="K131" s="23"/>
    </row>
    <row r="132" spans="7:11" x14ac:dyDescent="0.35">
      <c r="G132" s="23"/>
      <c r="K132" s="23"/>
    </row>
    <row r="133" spans="7:11" x14ac:dyDescent="0.35">
      <c r="G133" s="23"/>
      <c r="K133" s="23"/>
    </row>
    <row r="134" spans="7:11" x14ac:dyDescent="0.35">
      <c r="G134" s="23"/>
      <c r="K134" s="23"/>
    </row>
    <row r="135" spans="7:11" x14ac:dyDescent="0.35">
      <c r="G135" s="23"/>
      <c r="K135" s="23"/>
    </row>
    <row r="136" spans="7:11" x14ac:dyDescent="0.35">
      <c r="G136" s="23"/>
      <c r="K136" s="23"/>
    </row>
    <row r="137" spans="7:11" x14ac:dyDescent="0.35">
      <c r="G137" s="23"/>
      <c r="K137" s="23"/>
    </row>
    <row r="138" spans="7:11" x14ac:dyDescent="0.35">
      <c r="G138" s="23"/>
      <c r="K138" s="23"/>
    </row>
    <row r="139" spans="7:11" x14ac:dyDescent="0.35">
      <c r="G139" s="23"/>
      <c r="K139" s="23"/>
    </row>
    <row r="140" spans="7:11" x14ac:dyDescent="0.35">
      <c r="G140" s="23"/>
      <c r="K140" s="23"/>
    </row>
    <row r="141" spans="7:11" x14ac:dyDescent="0.35">
      <c r="G141" s="23"/>
      <c r="K141" s="23"/>
    </row>
    <row r="142" spans="7:11" x14ac:dyDescent="0.35">
      <c r="G142" s="23"/>
      <c r="K142" s="23"/>
    </row>
    <row r="143" spans="7:11" x14ac:dyDescent="0.35">
      <c r="G143" s="23"/>
      <c r="K143" s="23"/>
    </row>
    <row r="144" spans="7:11" x14ac:dyDescent="0.35">
      <c r="G144" s="23"/>
      <c r="K144" s="23"/>
    </row>
    <row r="145" spans="7:11" x14ac:dyDescent="0.35">
      <c r="G145" s="23"/>
      <c r="K145" s="23"/>
    </row>
    <row r="146" spans="7:11" x14ac:dyDescent="0.35">
      <c r="G146" s="23"/>
      <c r="K146" s="23"/>
    </row>
    <row r="147" spans="7:11" x14ac:dyDescent="0.35">
      <c r="G147" s="23"/>
      <c r="K147" s="23"/>
    </row>
    <row r="148" spans="7:11" x14ac:dyDescent="0.35">
      <c r="G148" s="23"/>
      <c r="K148" s="23"/>
    </row>
    <row r="149" spans="7:11" x14ac:dyDescent="0.35">
      <c r="G149" s="23"/>
      <c r="K149" s="23"/>
    </row>
    <row r="150" spans="7:11" x14ac:dyDescent="0.35">
      <c r="G150" s="23"/>
      <c r="K150" s="23"/>
    </row>
    <row r="151" spans="7:11" x14ac:dyDescent="0.35">
      <c r="G151" s="23"/>
      <c r="K151" s="23"/>
    </row>
    <row r="152" spans="7:11" x14ac:dyDescent="0.35">
      <c r="G152" s="23"/>
      <c r="K152" s="23"/>
    </row>
    <row r="153" spans="7:11" x14ac:dyDescent="0.35">
      <c r="G153" s="23"/>
      <c r="K153" s="23"/>
    </row>
    <row r="154" spans="7:11" x14ac:dyDescent="0.35">
      <c r="G154" s="23"/>
      <c r="K154" s="23"/>
    </row>
    <row r="155" spans="7:11" x14ac:dyDescent="0.35">
      <c r="G155" s="23"/>
      <c r="K155" s="23"/>
    </row>
  </sheetData>
  <mergeCells count="33">
    <mergeCell ref="D40:D43"/>
    <mergeCell ref="A2:A52"/>
    <mergeCell ref="B50:B51"/>
    <mergeCell ref="C50:C51"/>
    <mergeCell ref="B37:B49"/>
    <mergeCell ref="C48:C49"/>
    <mergeCell ref="C46:C47"/>
    <mergeCell ref="C44:C45"/>
    <mergeCell ref="D36:D39"/>
    <mergeCell ref="C36:C43"/>
    <mergeCell ref="B4:B15"/>
    <mergeCell ref="C4:C15"/>
    <mergeCell ref="D10:D15"/>
    <mergeCell ref="D4:D9"/>
    <mergeCell ref="B2:B3"/>
    <mergeCell ref="C2:C3"/>
    <mergeCell ref="C28:C29"/>
    <mergeCell ref="B16:B27"/>
    <mergeCell ref="C24:C27"/>
    <mergeCell ref="D26:D27"/>
    <mergeCell ref="D24:D25"/>
    <mergeCell ref="C22:C23"/>
    <mergeCell ref="C18:C21"/>
    <mergeCell ref="D20:D21"/>
    <mergeCell ref="D18:D19"/>
    <mergeCell ref="C16:C17"/>
    <mergeCell ref="B28:B29"/>
    <mergeCell ref="B30:B31"/>
    <mergeCell ref="C30:C31"/>
    <mergeCell ref="B32:B33"/>
    <mergeCell ref="C32:C33"/>
    <mergeCell ref="B34:B35"/>
    <mergeCell ref="C34:C35"/>
  </mergeCells>
  <phoneticPr fontId="15" type="noConversion"/>
  <pageMargins left="0.7" right="0.7" top="0.75" bottom="0.75" header="0.3" footer="0.3"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3"/>
  <sheetViews>
    <sheetView workbookViewId="0"/>
  </sheetViews>
  <sheetFormatPr defaultColWidth="12" defaultRowHeight="15.5" x14ac:dyDescent="0.35"/>
  <cols>
    <col min="1" max="1" width="22" customWidth="1"/>
    <col min="2" max="2" width="9" customWidth="1"/>
    <col min="3" max="3" width="25" customWidth="1"/>
    <col min="4" max="4" width="31" customWidth="1"/>
    <col min="5" max="5" width="20" customWidth="1"/>
  </cols>
  <sheetData>
    <row r="1" spans="1:20" x14ac:dyDescent="0.35">
      <c r="A1" s="25" t="s">
        <v>176</v>
      </c>
    </row>
    <row r="2" spans="1:20" x14ac:dyDescent="0.35">
      <c r="A2" s="26" t="s">
        <v>177</v>
      </c>
      <c r="B2" s="26" t="s">
        <v>178</v>
      </c>
      <c r="C2" s="27" t="s">
        <v>179</v>
      </c>
      <c r="D2" s="27" t="s">
        <v>180</v>
      </c>
      <c r="E2" s="27" t="s">
        <v>181</v>
      </c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</row>
    <row r="3" spans="1:20" x14ac:dyDescent="0.35">
      <c r="A3" s="29" t="s">
        <v>182</v>
      </c>
      <c r="B3" s="29" t="s">
        <v>183</v>
      </c>
      <c r="C3" s="29">
        <v>14027</v>
      </c>
      <c r="D3" s="29">
        <v>0.65</v>
      </c>
      <c r="E3" s="30">
        <f t="shared" ref="E3:E4" si="0">C3/D3</f>
        <v>21580</v>
      </c>
      <c r="F3" s="31"/>
      <c r="G3" s="31"/>
    </row>
    <row r="4" spans="1:20" x14ac:dyDescent="0.35">
      <c r="A4" s="29" t="s">
        <v>184</v>
      </c>
      <c r="B4" s="29" t="s">
        <v>183</v>
      </c>
      <c r="C4" s="29">
        <v>16081</v>
      </c>
      <c r="D4" s="29">
        <v>0.68</v>
      </c>
      <c r="E4" s="32">
        <f t="shared" si="0"/>
        <v>23648.529411764703</v>
      </c>
      <c r="F4" s="31"/>
      <c r="G4" s="31"/>
    </row>
    <row r="5" spans="1:20" x14ac:dyDescent="0.35">
      <c r="A5" s="33"/>
      <c r="B5" s="33"/>
      <c r="C5" s="33"/>
      <c r="D5" s="33"/>
      <c r="E5" s="33"/>
    </row>
    <row r="6" spans="1:20" x14ac:dyDescent="0.35">
      <c r="A6" s="34" t="s">
        <v>185</v>
      </c>
      <c r="B6" s="33"/>
      <c r="C6" s="33"/>
      <c r="D6" s="33"/>
      <c r="E6" s="33"/>
    </row>
    <row r="7" spans="1:20" x14ac:dyDescent="0.35">
      <c r="A7" s="26" t="s">
        <v>177</v>
      </c>
      <c r="B7" s="26" t="s">
        <v>178</v>
      </c>
      <c r="C7" s="27" t="s">
        <v>186</v>
      </c>
      <c r="D7" s="27" t="s">
        <v>187</v>
      </c>
      <c r="E7" s="27" t="s">
        <v>188</v>
      </c>
    </row>
    <row r="8" spans="1:20" x14ac:dyDescent="0.35">
      <c r="A8" s="29" t="s">
        <v>182</v>
      </c>
      <c r="B8" s="29" t="s">
        <v>183</v>
      </c>
      <c r="C8" s="35">
        <v>15000</v>
      </c>
      <c r="D8" s="29">
        <f t="shared" ref="D8:D9" si="1">C8/E8</f>
        <v>0.6</v>
      </c>
      <c r="E8" s="36">
        <v>25000</v>
      </c>
    </row>
    <row r="9" spans="1:20" x14ac:dyDescent="0.35">
      <c r="A9" s="29" t="s">
        <v>184</v>
      </c>
      <c r="B9" s="29" t="s">
        <v>183</v>
      </c>
      <c r="C9" s="35">
        <v>16000</v>
      </c>
      <c r="D9" s="29">
        <f t="shared" si="1"/>
        <v>0.64</v>
      </c>
      <c r="E9" s="36">
        <v>25000</v>
      </c>
    </row>
    <row r="11" spans="1:20" x14ac:dyDescent="0.35">
      <c r="A11" s="25" t="s">
        <v>189</v>
      </c>
      <c r="B11" s="37" t="s">
        <v>185</v>
      </c>
      <c r="C11" s="37" t="s">
        <v>176</v>
      </c>
      <c r="D11" s="38" t="s">
        <v>190</v>
      </c>
    </row>
    <row r="12" spans="1:20" x14ac:dyDescent="0.35">
      <c r="A12" s="25" t="s">
        <v>191</v>
      </c>
      <c r="B12" s="33">
        <f>C8+C9</f>
        <v>31000</v>
      </c>
      <c r="C12" s="33">
        <f>C3+C4</f>
        <v>30108</v>
      </c>
      <c r="D12" s="33">
        <f t="shared" ref="D12:D13" si="2">B12/C12</f>
        <v>1.0296266772950711</v>
      </c>
    </row>
    <row r="13" spans="1:20" x14ac:dyDescent="0.35">
      <c r="A13" s="38" t="s">
        <v>192</v>
      </c>
      <c r="B13" s="33">
        <f>(C8+C9)/(E8+E9)</f>
        <v>0.62</v>
      </c>
      <c r="C13" s="33">
        <f>(C3+C4)/(E3+E4)</f>
        <v>0.66568602586862802</v>
      </c>
      <c r="D13" s="33">
        <f t="shared" si="2"/>
        <v>0.93137000914355372</v>
      </c>
    </row>
  </sheetData>
  <phoneticPr fontId="15" type="noConversion"/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PBI取数逻辑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辜涛</cp:lastModifiedBy>
  <dcterms:modified xsi:type="dcterms:W3CDTF">2026-08-18T07:43:09Z</dcterms:modified>
</cp:coreProperties>
</file>